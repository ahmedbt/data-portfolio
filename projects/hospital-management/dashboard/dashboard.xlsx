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ospital management\"/>
    </mc:Choice>
  </mc:AlternateContent>
  <xr:revisionPtr revIDLastSave="0" documentId="13_ncr:1_{E2E47E9D-1445-438D-9B9C-66EC7F7412D6}" xr6:coauthVersionLast="47" xr6:coauthVersionMax="47" xr10:uidLastSave="{00000000-0000-0000-0000-000000000000}"/>
  <bookViews>
    <workbookView xWindow="-120" yWindow="-120" windowWidth="29040" windowHeight="15720" activeTab="1" xr2:uid="{7E6406DC-8BF9-4637-A134-E14E58DAC0F1}"/>
  </bookViews>
  <sheets>
    <sheet name="DATA" sheetId="1" r:id="rId1"/>
    <sheet name="DASHBOARD" sheetId="2" r:id="rId2"/>
  </sheets>
  <definedNames>
    <definedName name="NativeTimeline_treatment_date">#N/A</definedName>
    <definedName name="Slicer_appointment_status">#N/A</definedName>
    <definedName name="Slicer_gender">#N/A</definedName>
    <definedName name="Slicer_hospital_branch">#N/A</definedName>
  </definedNames>
  <calcPr calcId="191028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" i="1" a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<sst xmlns="http://schemas.openxmlformats.org/spreadsheetml/2006/main" count="2033" uniqueCount="106">
  <si>
    <t>patient_id</t>
  </si>
  <si>
    <t>gender</t>
  </si>
  <si>
    <t>date_of_birth</t>
  </si>
  <si>
    <t>age</t>
  </si>
  <si>
    <t>insurance_provider</t>
  </si>
  <si>
    <t>first_name</t>
  </si>
  <si>
    <t>last_name</t>
  </si>
  <si>
    <t>department</t>
  </si>
  <si>
    <t>years_experience</t>
  </si>
  <si>
    <t>buckets</t>
  </si>
  <si>
    <t>hospital_branch</t>
  </si>
  <si>
    <t>reason_for_visit</t>
  </si>
  <si>
    <t>appointment_status</t>
  </si>
  <si>
    <t>treatment_type</t>
  </si>
  <si>
    <t>treatment_date</t>
  </si>
  <si>
    <t>month</t>
  </si>
  <si>
    <t>cost</t>
  </si>
  <si>
    <t>P034</t>
  </si>
  <si>
    <t>F</t>
  </si>
  <si>
    <t>WellnessCorp</t>
  </si>
  <si>
    <t>Sarah</t>
  </si>
  <si>
    <t>Smith</t>
  </si>
  <si>
    <t>Pediatrics</t>
  </si>
  <si>
    <t>Central Hospital</t>
  </si>
  <si>
    <t>Therapy</t>
  </si>
  <si>
    <t>Scheduled</t>
  </si>
  <si>
    <t>Chemotherapy</t>
  </si>
  <si>
    <t>P032</t>
  </si>
  <si>
    <t>M</t>
  </si>
  <si>
    <t>MedCare Plus</t>
  </si>
  <si>
    <t>David</t>
  </si>
  <si>
    <t>Jones</t>
  </si>
  <si>
    <t>No-show</t>
  </si>
  <si>
    <t>MRI</t>
  </si>
  <si>
    <t>P048</t>
  </si>
  <si>
    <t>PulseSecure</t>
  </si>
  <si>
    <t>Consultation</t>
  </si>
  <si>
    <t>Cancelled</t>
  </si>
  <si>
    <t>P025</t>
  </si>
  <si>
    <t>HealthIndia</t>
  </si>
  <si>
    <t>Alex</t>
  </si>
  <si>
    <t>Davis</t>
  </si>
  <si>
    <t>P040</t>
  </si>
  <si>
    <t>Jane</t>
  </si>
  <si>
    <t>Eastside Clinic</t>
  </si>
  <si>
    <t>Emergency</t>
  </si>
  <si>
    <t>ECG</t>
  </si>
  <si>
    <t>P045</t>
  </si>
  <si>
    <t>Checkup</t>
  </si>
  <si>
    <t>P001</t>
  </si>
  <si>
    <t>Robert</t>
  </si>
  <si>
    <t>Oncology</t>
  </si>
  <si>
    <t>Westside Clinic</t>
  </si>
  <si>
    <t>P016</t>
  </si>
  <si>
    <t>Linda</t>
  </si>
  <si>
    <t>Wilson</t>
  </si>
  <si>
    <t>Physiotherapy</t>
  </si>
  <si>
    <t>P039</t>
  </si>
  <si>
    <t>Follow-up</t>
  </si>
  <si>
    <t>P005</t>
  </si>
  <si>
    <t>Completed</t>
  </si>
  <si>
    <t>P022</t>
  </si>
  <si>
    <t>P029</t>
  </si>
  <si>
    <t>P003</t>
  </si>
  <si>
    <t>P012</t>
  </si>
  <si>
    <t>P026</t>
  </si>
  <si>
    <t>Brown</t>
  </si>
  <si>
    <t>Dermatology</t>
  </si>
  <si>
    <t>P037</t>
  </si>
  <si>
    <t>Taylor</t>
  </si>
  <si>
    <t>X-Ray</t>
  </si>
  <si>
    <t>P014</t>
  </si>
  <si>
    <t>P028</t>
  </si>
  <si>
    <t>P047</t>
  </si>
  <si>
    <t>P049</t>
  </si>
  <si>
    <t>P030</t>
  </si>
  <si>
    <t>P046</t>
  </si>
  <si>
    <t>P021</t>
  </si>
  <si>
    <t>P036</t>
  </si>
  <si>
    <t>P033</t>
  </si>
  <si>
    <t>P023</t>
  </si>
  <si>
    <t>P010</t>
  </si>
  <si>
    <t>P031</t>
  </si>
  <si>
    <t>P019</t>
  </si>
  <si>
    <t>P004</t>
  </si>
  <si>
    <t>P024</t>
  </si>
  <si>
    <t>P002</t>
  </si>
  <si>
    <t>P027</t>
  </si>
  <si>
    <t>P020</t>
  </si>
  <si>
    <t>P050</t>
  </si>
  <si>
    <t>P035</t>
  </si>
  <si>
    <t>P043</t>
  </si>
  <si>
    <t>P044</t>
  </si>
  <si>
    <t>P013</t>
  </si>
  <si>
    <t>P017</t>
  </si>
  <si>
    <t>P008</t>
  </si>
  <si>
    <t>P041</t>
  </si>
  <si>
    <t>P007</t>
  </si>
  <si>
    <t>P011</t>
  </si>
  <si>
    <t>P009</t>
  </si>
  <si>
    <t>P018</t>
  </si>
  <si>
    <t>P042</t>
  </si>
  <si>
    <t>P038</t>
  </si>
  <si>
    <t>Sum of cost</t>
  </si>
  <si>
    <t>Count of patient_id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</si>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</sst>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heetMetadata" Target="metadata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DASHBOARD!$AS$4:$AS$16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DASHBOARD!$AT$4:$AT$16</c:f>
              <c:numCache>
                <c:formatCode>0</c:formatCode>
                <c:ptCount val="12"/>
                <c:pt idx="0">
                  <c:v>58701.229999999996</c:v>
                </c:pt>
                <c:pt idx="1">
                  <c:v>36669.69</c:v>
                </c:pt>
                <c:pt idx="2">
                  <c:v>47304.289999999994</c:v>
                </c:pt>
                <c:pt idx="3">
                  <c:v>64271.539999999994</c:v>
                </c:pt>
                <c:pt idx="4">
                  <c:v>48791.05</c:v>
                </c:pt>
                <c:pt idx="5">
                  <c:v>56887.82</c:v>
                </c:pt>
                <c:pt idx="6">
                  <c:v>39880.19</c:v>
                </c:pt>
                <c:pt idx="7">
                  <c:v>41958.669999999991</c:v>
                </c:pt>
                <c:pt idx="8">
                  <c:v>33426.53</c:v>
                </c:pt>
                <c:pt idx="9">
                  <c:v>43314.150000000009</c:v>
                </c:pt>
                <c:pt idx="10">
                  <c:v>52474.979999999996</c:v>
                </c:pt>
                <c:pt idx="11">
                  <c:v>27569.710000000003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0B-40E4-B515-A6B5DED28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82467591"/>
        <c:axId val="1182476807"/>
      </c:barChart>
      <c:catAx>
        <c:axId val="1182467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76807"/>
        <c:crosses val="autoZero"/>
        <c:auto val="1"/>
        <c:lblAlgn val="ctr"/>
        <c:lblOffset val="100"/>
        <c:noMultiLvlLbl val="0"/>
      </c:catAx>
      <c:valAx>
        <c:axId val="118247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6759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DD7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DASHBOARD!$AI$5:$AI$8</c:f>
              <c:strCache>
                <c:ptCount val="3"/>
                <c:pt idx="0">
                  <c:v>Dermatology</c:v>
                </c:pt>
                <c:pt idx="1">
                  <c:v>Oncology</c:v>
                </c:pt>
                <c:pt idx="2">
                  <c:v>Pediatrics</c:v>
                </c:pt>
              </c:strCache>
            </c:strRef>
          </c:cat>
          <c:val>
            <c:numRef>
              <c:f>DASHBOARD!$AJ$5:$AJ$8</c:f>
              <c:numCache>
                <c:formatCode>General</c:formatCode>
                <c:ptCount val="3"/>
                <c:pt idx="0">
                  <c:v>70</c:v>
                </c:pt>
                <c:pt idx="1">
                  <c:v>32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C2-442D-A874-3F2591C92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896331783"/>
        <c:axId val="1896339975"/>
      </c:barChart>
      <c:catAx>
        <c:axId val="1896331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39975"/>
        <c:crosses val="autoZero"/>
        <c:auto val="1"/>
        <c:lblAlgn val="ctr"/>
        <c:lblOffset val="100"/>
        <c:noMultiLvlLbl val="0"/>
      </c:catAx>
      <c:valAx>
        <c:axId val="1896339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31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DD7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BY INSURANCE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DASHBOARD!$AM$5:$AM$9</c:f>
              <c:strCache>
                <c:ptCount val="4"/>
                <c:pt idx="0">
                  <c:v>HealthIndia</c:v>
                </c:pt>
                <c:pt idx="1">
                  <c:v>MedCare Plus</c:v>
                </c:pt>
                <c:pt idx="2">
                  <c:v>PulseSecure</c:v>
                </c:pt>
                <c:pt idx="3">
                  <c:v>WellnessCorp</c:v>
                </c:pt>
              </c:strCache>
            </c:strRef>
          </c:cat>
          <c:val>
            <c:numRef>
              <c:f>DASHBOARD!$AN$5:$AN$9</c:f>
              <c:numCache>
                <c:formatCode>General</c:formatCode>
                <c:ptCount val="4"/>
                <c:pt idx="0">
                  <c:v>22</c:v>
                </c:pt>
                <c:pt idx="1">
                  <c:v>84</c:v>
                </c:pt>
                <c:pt idx="2">
                  <c:v>36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96-4410-A1DC-FCC281A4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21220615"/>
        <c:axId val="1559828487"/>
      </c:barChart>
      <c:catAx>
        <c:axId val="1521220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8487"/>
        <c:crosses val="autoZero"/>
        <c:auto val="1"/>
        <c:lblAlgn val="ctr"/>
        <c:lblOffset val="100"/>
        <c:noMultiLvlLbl val="0"/>
      </c:catAx>
      <c:valAx>
        <c:axId val="1559828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20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DD7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28575</xdr:rowOff>
    </xdr:from>
    <xdr:to>
      <xdr:col>11</xdr:col>
      <xdr:colOff>571500</xdr:colOff>
      <xdr:row>28</xdr:row>
      <xdr:rowOff>171450</xdr:rowOff>
    </xdr:to>
    <xdr:graphicFrame macro="">
      <xdr:nvGraphicFramePr>
        <xdr:cNvPr id="2" name="Chart 1" descr="Chart type: Clustered Column. 'cost' by 'month'&#10;&#10;Description automatically generated">
          <a:extLst>
            <a:ext uri="{FF2B5EF4-FFF2-40B4-BE49-F238E27FC236}">
              <a16:creationId xmlns:a16="http://schemas.microsoft.com/office/drawing/2014/main" id="{79285F2F-8994-41FB-F8C3-0B6596B6C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161925</xdr:colOff>
      <xdr:row>4</xdr:row>
      <xdr:rowOff>47625</xdr:rowOff>
    </xdr:from>
    <xdr:to>
      <xdr:col>11</xdr:col>
      <xdr:colOff>581025</xdr:colOff>
      <xdr:row>11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treatment_date">
              <a:extLst>
                <a:ext uri="{FF2B5EF4-FFF2-40B4-BE49-F238E27FC236}">
                  <a16:creationId xmlns:a16="http://schemas.microsoft.com/office/drawing/2014/main" id="{BBE95CBA-6442-7073-8C75-3D391E6FAF71}"/>
                </a:ext>
                <a:ext uri="{147F2762-F138-4A5C-976F-8EAC2B608ADB}">
                  <a16:predDERef xmlns:a16="http://schemas.microsoft.com/office/drawing/2014/main" pred="{79285F2F-8994-41FB-F8C3-0B6596B6C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eatment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5025" y="685800"/>
              <a:ext cx="46863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4</xdr:row>
      <xdr:rowOff>38100</xdr:rowOff>
    </xdr:from>
    <xdr:to>
      <xdr:col>4</xdr:col>
      <xdr:colOff>123825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ppointment_status">
              <a:extLst>
                <a:ext uri="{FF2B5EF4-FFF2-40B4-BE49-F238E27FC236}">
                  <a16:creationId xmlns:a16="http://schemas.microsoft.com/office/drawing/2014/main" id="{C72EBC5F-A3AC-3206-E79F-06584D9EF2C5}"/>
                </a:ext>
                <a:ext uri="{147F2762-F138-4A5C-976F-8EAC2B608ADB}">
                  <a16:predDERef xmlns:a16="http://schemas.microsoft.com/office/drawing/2014/main" pred="{BBE95CBA-6442-7073-8C75-3D391E6FA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ppointment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676275"/>
              <a:ext cx="19431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9525</xdr:rowOff>
    </xdr:from>
    <xdr:to>
      <xdr:col>18</xdr:col>
      <xdr:colOff>590550</xdr:colOff>
      <xdr:row>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C93129F-B9BE-A9CC-B4B0-82B610E86F37}"/>
            </a:ext>
            <a:ext uri="{147F2762-F138-4A5C-976F-8EAC2B608ADB}">
              <a16:predDERef xmlns:a16="http://schemas.microsoft.com/office/drawing/2014/main" pred="{C72EBC5F-A3AC-3206-E79F-06584D9EF2C5}"/>
            </a:ext>
          </a:extLst>
        </xdr:cNvPr>
        <xdr:cNvSpPr/>
      </xdr:nvSpPr>
      <xdr:spPr>
        <a:xfrm>
          <a:off x="114300" y="76200"/>
          <a:ext cx="10953750" cy="5619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 i="0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HOSPITAL APPOINTMENTS DASHBOARD</a:t>
          </a:r>
        </a:p>
      </xdr:txBody>
    </xdr:sp>
    <xdr:clientData/>
  </xdr:twoCellAnchor>
  <xdr:twoCellAnchor>
    <xdr:from>
      <xdr:col>12</xdr:col>
      <xdr:colOff>9525</xdr:colOff>
      <xdr:row>20</xdr:row>
      <xdr:rowOff>66675</xdr:rowOff>
    </xdr:from>
    <xdr:to>
      <xdr:col>18</xdr:col>
      <xdr:colOff>581025</xdr:colOff>
      <xdr:row>28</xdr:row>
      <xdr:rowOff>171450</xdr:rowOff>
    </xdr:to>
    <xdr:graphicFrame macro="">
      <xdr:nvGraphicFramePr>
        <xdr:cNvPr id="6" name="Chart 5" descr="Chart type: Clustered Bar. 'patient_id' by 'department'&#10;&#10;Description automatically generated">
          <a:extLst>
            <a:ext uri="{FF2B5EF4-FFF2-40B4-BE49-F238E27FC236}">
              <a16:creationId xmlns:a16="http://schemas.microsoft.com/office/drawing/2014/main" id="{BD624516-20F6-A5AB-7093-3CDDE520E3C3}"/>
            </a:ext>
            <a:ext uri="{147F2762-F138-4A5C-976F-8EAC2B608ADB}">
              <a16:predDERef xmlns:a16="http://schemas.microsoft.com/office/drawing/2014/main" pred="{5C93129F-B9BE-A9CC-B4B0-82B610E86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11</xdr:row>
      <xdr:rowOff>38100</xdr:rowOff>
    </xdr:from>
    <xdr:to>
      <xdr:col>18</xdr:col>
      <xdr:colOff>590550</xdr:colOff>
      <xdr:row>20</xdr:row>
      <xdr:rowOff>47625</xdr:rowOff>
    </xdr:to>
    <xdr:graphicFrame macro="">
      <xdr:nvGraphicFramePr>
        <xdr:cNvPr id="7" name="Chart 6" descr="Chart type: Clustered Bar. 'patient_id' by 'insurance_provider'&#10;&#10;Description automatically generated">
          <a:extLst>
            <a:ext uri="{FF2B5EF4-FFF2-40B4-BE49-F238E27FC236}">
              <a16:creationId xmlns:a16="http://schemas.microsoft.com/office/drawing/2014/main" id="{DD50112B-882E-3A0A-E300-D84F96D895BC}"/>
            </a:ext>
            <a:ext uri="{147F2762-F138-4A5C-976F-8EAC2B608ADB}">
              <a16:predDERef xmlns:a16="http://schemas.microsoft.com/office/drawing/2014/main" pred="{BD624516-20F6-A5AB-7093-3CDDE520E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571500</xdr:colOff>
      <xdr:row>4</xdr:row>
      <xdr:rowOff>38100</xdr:rowOff>
    </xdr:from>
    <xdr:to>
      <xdr:col>18</xdr:col>
      <xdr:colOff>600075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der">
              <a:extLst>
                <a:ext uri="{FF2B5EF4-FFF2-40B4-BE49-F238E27FC236}">
                  <a16:creationId xmlns:a16="http://schemas.microsoft.com/office/drawing/2014/main" id="{F2ED0169-FA55-7AF4-193D-DDCE6A4AF5DF}"/>
                </a:ext>
                <a:ext uri="{147F2762-F138-4A5C-976F-8EAC2B608ADB}">
                  <a16:predDERef xmlns:a16="http://schemas.microsoft.com/office/drawing/2014/main" pred="{DD50112B-882E-3A0A-E300-D84F96D895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800" y="676275"/>
              <a:ext cx="1247775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28575</xdr:colOff>
      <xdr:row>4</xdr:row>
      <xdr:rowOff>47625</xdr:rowOff>
    </xdr:from>
    <xdr:to>
      <xdr:col>16</xdr:col>
      <xdr:colOff>552450</xdr:colOff>
      <xdr:row>11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hospital_branch">
              <a:extLst>
                <a:ext uri="{FF2B5EF4-FFF2-40B4-BE49-F238E27FC236}">
                  <a16:creationId xmlns:a16="http://schemas.microsoft.com/office/drawing/2014/main" id="{A8604741-EC2A-8370-AB65-D49A3B439D19}"/>
                </a:ext>
                <a:ext uri="{147F2762-F138-4A5C-976F-8EAC2B608ADB}">
                  <a16:predDERef xmlns:a16="http://schemas.microsoft.com/office/drawing/2014/main" pred="{F2ED0169-FA55-7AF4-193D-DDCE6A4AF5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spital_bran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48475" y="685800"/>
              <a:ext cx="2962275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5.903099884257" createdVersion="8" refreshedVersion="8" minRefreshableVersion="3" recordCount="200" xr:uid="{F8F9733A-02A3-4279-A31C-DED2A5E627C9}">
  <cacheSource type="worksheet">
    <worksheetSource ref="A1:Q201" sheet="DATA"/>
  </cacheSource>
  <cacheFields count="17">
    <cacheField name="patient_id" numFmtId="0">
      <sharedItems/>
    </cacheField>
    <cacheField name="gender" numFmtId="0">
      <sharedItems count="2">
        <s v="F"/>
        <s v="M"/>
      </sharedItems>
    </cacheField>
    <cacheField name="date_of_birth" numFmtId="14">
      <sharedItems containsSemiMixedTypes="0" containsNonDate="0" containsDate="1" containsString="0" minDate="1950-01-26T00:00:00" maxDate="2005-05-16T00:00:00"/>
    </cacheField>
    <cacheField name="age" numFmtId="1">
      <sharedItems containsSemiMixedTypes="0" containsString="0" containsNumber="1" minValue="20.469444444444445" maxValue="75.772222222222226"/>
    </cacheField>
    <cacheField name="insurance_provider" numFmtId="0">
      <sharedItems count="4">
        <s v="WellnessCorp"/>
        <s v="MedCare Plus"/>
        <s v="PulseSecure"/>
        <s v="HealthIndia"/>
      </sharedItems>
    </cacheField>
    <cacheField name="first_name" numFmtId="0">
      <sharedItems/>
    </cacheField>
    <cacheField name="last_name" numFmtId="0">
      <sharedItems/>
    </cacheField>
    <cacheField name="department" numFmtId="0">
      <sharedItems count="3">
        <s v="Pediatrics"/>
        <s v="Oncology"/>
        <s v="Dermatology"/>
      </sharedItems>
    </cacheField>
    <cacheField name="years_experience" numFmtId="0">
      <sharedItems containsSemiMixedTypes="0" containsString="0" containsNumber="1" containsInteger="1" minValue="2" maxValue="28"/>
    </cacheField>
    <cacheField name="buckets" numFmtId="0">
      <sharedItems/>
    </cacheField>
    <cacheField name="hospital_branch" numFmtId="0">
      <sharedItems count="3">
        <s v="Central Hospital"/>
        <s v="Eastside Clinic"/>
        <s v="Westside Clinic"/>
      </sharedItems>
    </cacheField>
    <cacheField name="reason_for_visit" numFmtId="0">
      <sharedItems/>
    </cacheField>
    <cacheField name="appointment_status" numFmtId="0">
      <sharedItems count="4">
        <s v="Scheduled"/>
        <s v="No-show"/>
        <s v="Cancelled"/>
        <s v="Completed"/>
      </sharedItems>
    </cacheField>
    <cacheField name="treatment_type" numFmtId="0">
      <sharedItems/>
    </cacheField>
    <cacheField name="treatment_date" numFmtId="14">
      <sharedItems containsSemiMixedTypes="0" containsNonDate="0" containsDate="1" containsString="0" minDate="2023-01-01T00:00:00" maxDate="2023-12-31T00:00:00" count="158">
        <d v="2023-08-09T00:00:00"/>
        <d v="2023-06-09T00:00:00"/>
        <d v="2023-06-28T00:00:00"/>
        <d v="2023-09-01T00:00:00"/>
        <d v="2023-07-06T00:00:00"/>
        <d v="2023-06-19T00:00:00"/>
        <d v="2023-04-09T00:00:00"/>
        <d v="2023-05-24T00:00:00"/>
        <d v="2023-03-05T00:00:00"/>
        <d v="2023-01-13T00:00:00"/>
        <d v="2023-11-12T00:00:00"/>
        <d v="2023-05-07T00:00:00"/>
        <d v="2023-08-16T00:00:00"/>
        <d v="2023-05-25T00:00:00"/>
        <d v="2023-01-15T00:00:00"/>
        <d v="2023-06-30T00:00:00"/>
        <d v="2023-07-11T00:00:00"/>
        <d v="2023-11-14T00:00:00"/>
        <d v="2023-02-06T00:00:00"/>
        <d v="2023-12-05T00:00:00"/>
        <d v="2023-04-24T00:00:00"/>
        <d v="2023-05-09T00:00:00"/>
        <d v="2023-06-21T00:00:00"/>
        <d v="2023-02-25T00:00:00"/>
        <d v="2023-03-17T00:00:00"/>
        <d v="2023-10-29T00:00:00"/>
        <d v="2023-06-25T00:00:00"/>
        <d v="2023-08-29T00:00:00"/>
        <d v="2023-04-04T00:00:00"/>
        <d v="2023-11-06T00:00:00"/>
        <d v="2023-09-23T00:00:00"/>
        <d v="2023-06-13T00:00:00"/>
        <d v="2023-04-18T00:00:00"/>
        <d v="2023-01-08T00:00:00"/>
        <d v="2023-03-28T00:00:00"/>
        <d v="2023-02-23T00:00:00"/>
        <d v="2023-04-17T00:00:00"/>
        <d v="2023-03-27T00:00:00"/>
        <d v="2023-01-01T00:00:00"/>
        <d v="2023-03-21T00:00:00"/>
        <d v="2023-03-29T00:00:00"/>
        <d v="2023-09-20T00:00:00"/>
        <d v="2023-09-28T00:00:00"/>
        <d v="2023-12-20T00:00:00"/>
        <d v="2023-05-02T00:00:00"/>
        <d v="2023-01-16T00:00:00"/>
        <d v="2023-04-30T00:00:00"/>
        <d v="2023-02-04T00:00:00"/>
        <d v="2023-07-12T00:00:00"/>
        <d v="2023-02-12T00:00:00"/>
        <d v="2023-12-16T00:00:00"/>
        <d v="2023-10-06T00:00:00"/>
        <d v="2023-01-02T00:00:00"/>
        <d v="2023-04-15T00:00:00"/>
        <d v="2023-03-09T00:00:00"/>
        <d v="2023-11-22T00:00:00"/>
        <d v="2023-06-14T00:00:00"/>
        <d v="2023-06-29T00:00:00"/>
        <d v="2023-05-31T00:00:00"/>
        <d v="2023-05-10T00:00:00"/>
        <d v="2023-08-10T00:00:00"/>
        <d v="2023-03-14T00:00:00"/>
        <d v="2023-08-26T00:00:00"/>
        <d v="2023-01-26T00:00:00"/>
        <d v="2023-06-12T00:00:00"/>
        <d v="2023-12-24T00:00:00"/>
        <d v="2023-07-23T00:00:00"/>
        <d v="2023-05-08T00:00:00"/>
        <d v="2023-11-27T00:00:00"/>
        <d v="2023-12-14T00:00:00"/>
        <d v="2023-09-17T00:00:00"/>
        <d v="2023-12-26T00:00:00"/>
        <d v="2023-06-26T00:00:00"/>
        <d v="2023-01-06T00:00:00"/>
        <d v="2023-01-20T00:00:00"/>
        <d v="2023-11-07T00:00:00"/>
        <d v="2023-02-18T00:00:00"/>
        <d v="2023-10-19T00:00:00"/>
        <d v="2023-02-14T00:00:00"/>
        <d v="2023-06-01T00:00:00"/>
        <d v="2023-06-11T00:00:00"/>
        <d v="2023-01-30T00:00:00"/>
        <d v="2023-04-08T00:00:00"/>
        <d v="2023-07-07T00:00:00"/>
        <d v="2023-05-06T00:00:00"/>
        <d v="2023-07-04T00:00:00"/>
        <d v="2023-03-02T00:00:00"/>
        <d v="2023-09-21T00:00:00"/>
        <d v="2023-10-25T00:00:00"/>
        <d v="2023-01-24T00:00:00"/>
        <d v="2023-08-14T00:00:00"/>
        <d v="2023-04-21T00:00:00"/>
        <d v="2023-07-29T00:00:00"/>
        <d v="2023-07-19T00:00:00"/>
        <d v="2023-05-22T00:00:00"/>
        <d v="2023-01-11T00:00:00"/>
        <d v="2023-11-24T00:00:00"/>
        <d v="2023-08-08T00:00:00"/>
        <d v="2023-06-20T00:00:00"/>
        <d v="2023-12-18T00:00:00"/>
        <d v="2023-12-08T00:00:00"/>
        <d v="2023-04-07T00:00:00"/>
        <d v="2023-02-28T00:00:00"/>
        <d v="2023-03-16T00:00:00"/>
        <d v="2023-11-02T00:00:00"/>
        <d v="2023-11-13T00:00:00"/>
        <d v="2023-08-25T00:00:00"/>
        <d v="2023-05-11T00:00:00"/>
        <d v="2023-07-26T00:00:00"/>
        <d v="2023-03-23T00:00:00"/>
        <d v="2023-10-17T00:00:00"/>
        <d v="2023-09-09T00:00:00"/>
        <d v="2023-05-13T00:00:00"/>
        <d v="2023-10-10T00:00:00"/>
        <d v="2023-02-05T00:00:00"/>
        <d v="2023-06-15T00:00:00"/>
        <d v="2023-11-01T00:00:00"/>
        <d v="2023-11-11T00:00:00"/>
        <d v="2023-01-05T00:00:00"/>
        <d v="2023-12-06T00:00:00"/>
        <d v="2023-01-28T00:00:00"/>
        <d v="2023-04-14T00:00:00"/>
        <d v="2023-07-08T00:00:00"/>
        <d v="2023-03-06T00:00:00"/>
        <d v="2023-01-03T00:00:00"/>
        <d v="2023-05-12T00:00:00"/>
        <d v="2023-12-17T00:00:00"/>
        <d v="2023-06-17T00:00:00"/>
        <d v="2023-06-27T00:00:00"/>
        <d v="2023-07-28T00:00:00"/>
        <d v="2023-01-12T00:00:00"/>
        <d v="2023-11-15T00:00:00"/>
        <d v="2023-09-29T00:00:00"/>
        <d v="2023-07-24T00:00:00"/>
        <d v="2023-03-03T00:00:00"/>
        <d v="2023-06-04T00:00:00"/>
        <d v="2023-10-31T00:00:00"/>
        <d v="2023-10-22T00:00:00"/>
        <d v="2023-04-26T00:00:00"/>
        <d v="2023-01-17T00:00:00"/>
        <d v="2023-03-08T00:00:00"/>
        <d v="2023-01-07T00:00:00"/>
        <d v="2023-09-03T00:00:00"/>
        <d v="2023-04-12T00:00:00"/>
        <d v="2023-02-03T00:00:00"/>
        <d v="2023-02-26T00:00:00"/>
        <d v="2023-02-13T00:00:00"/>
        <d v="2023-10-05T00:00:00"/>
        <d v="2023-11-16T00:00:00"/>
        <d v="2023-08-31T00:00:00"/>
        <d v="2023-09-15T00:00:00"/>
        <d v="2023-04-06T00:00:00"/>
        <d v="2023-08-19T00:00:00"/>
        <d v="2023-10-26T00:00:00"/>
        <d v="2023-04-01T00:00:00"/>
        <d v="2023-05-15T00:00:00"/>
        <d v="2023-05-01T00:00:00"/>
        <d v="2023-12-30T00:00:00"/>
      </sharedItems>
    </cacheField>
    <cacheField name="month" numFmtId="1">
      <sharedItems containsSemiMixedTypes="0" containsString="0" containsNumber="1" containsInteger="1" minValue="1" maxValue="12" count="12">
        <n v="8"/>
        <n v="6"/>
        <n v="9"/>
        <n v="7"/>
        <n v="4"/>
        <n v="5"/>
        <n v="3"/>
        <n v="1"/>
        <n v="11"/>
        <n v="2"/>
        <n v="12"/>
        <n v="10"/>
      </sharedItems>
    </cacheField>
    <cacheField name="cost" numFmtId="1">
      <sharedItems containsSemiMixedTypes="0" containsString="0" containsNumber="1" minValue="534.03" maxValue="4973.63"/>
    </cacheField>
  </cacheFields>
  <extLst>
    <ext xmlns:x14="http://schemas.microsoft.com/office/spreadsheetml/2009/9/main" uri="{725AE2AE-9491-48be-B2B4-4EB974FC3084}">
      <x14:pivotCacheDefinition pivotCacheId="11892700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034"/>
    <x v="0"/>
    <d v="1950-01-26T00:00:00"/>
    <n v="75.772222222222226"/>
    <x v="0"/>
    <s v="Sarah"/>
    <s v="Smith"/>
    <x v="0"/>
    <n v="4"/>
    <s v="0-10"/>
    <x v="0"/>
    <s v="Therapy"/>
    <x v="0"/>
    <s v="Chemotherapy"/>
    <x v="0"/>
    <x v="0"/>
    <n v="3941.97"/>
  </r>
  <r>
    <s v="P032"/>
    <x v="1"/>
    <d v="1981-01-08T00:00:00"/>
    <n v="44.822222222222223"/>
    <x v="1"/>
    <s v="David"/>
    <s v="Jones"/>
    <x v="0"/>
    <n v="28"/>
    <s v="20+"/>
    <x v="0"/>
    <s v="Therapy"/>
    <x v="1"/>
    <s v="MRI"/>
    <x v="1"/>
    <x v="1"/>
    <n v="4158.4399999999996"/>
  </r>
  <r>
    <s v="P048"/>
    <x v="1"/>
    <d v="1983-03-24T00:00:00"/>
    <n v="42.611111111111114"/>
    <x v="2"/>
    <s v="David"/>
    <s v="Jones"/>
    <x v="0"/>
    <n v="28"/>
    <s v="20+"/>
    <x v="0"/>
    <s v="Consultation"/>
    <x v="2"/>
    <s v="MRI"/>
    <x v="2"/>
    <x v="1"/>
    <n v="3731.55"/>
  </r>
  <r>
    <s v="P025"/>
    <x v="1"/>
    <d v="1966-08-14T00:00:00"/>
    <n v="59.222222222222221"/>
    <x v="3"/>
    <s v="Alex"/>
    <s v="Davis"/>
    <x v="0"/>
    <n v="23"/>
    <s v="20+"/>
    <x v="0"/>
    <s v="Consultation"/>
    <x v="2"/>
    <s v="MRI"/>
    <x v="3"/>
    <x v="2"/>
    <n v="4799.8599999999997"/>
  </r>
  <r>
    <s v="P040"/>
    <x v="1"/>
    <d v="1972-05-30T00:00:00"/>
    <n v="53.427777777777777"/>
    <x v="2"/>
    <s v="Jane"/>
    <s v="Smith"/>
    <x v="0"/>
    <n v="19"/>
    <s v="11-20"/>
    <x v="1"/>
    <s v="Emergency"/>
    <x v="1"/>
    <s v="ECG"/>
    <x v="4"/>
    <x v="3"/>
    <n v="582.04999999999995"/>
  </r>
  <r>
    <s v="P045"/>
    <x v="0"/>
    <d v="1966-04-25T00:00:00"/>
    <n v="59.524999999999999"/>
    <x v="1"/>
    <s v="Alex"/>
    <s v="Davis"/>
    <x v="0"/>
    <n v="23"/>
    <s v="20+"/>
    <x v="0"/>
    <s v="Checkup"/>
    <x v="0"/>
    <s v="Chemotherapy"/>
    <x v="5"/>
    <x v="1"/>
    <n v="1381"/>
  </r>
  <r>
    <s v="P001"/>
    <x v="0"/>
    <d v="1955-06-04T00:00:00"/>
    <n v="70.416666666666671"/>
    <x v="0"/>
    <s v="Robert"/>
    <s v="Davis"/>
    <x v="1"/>
    <n v="4"/>
    <s v="0-10"/>
    <x v="2"/>
    <s v="Consultation"/>
    <x v="0"/>
    <s v="Chemotherapy"/>
    <x v="6"/>
    <x v="4"/>
    <n v="534.03"/>
  </r>
  <r>
    <s v="P016"/>
    <x v="1"/>
    <d v="2000-07-22T00:00:00"/>
    <n v="25.283333333333335"/>
    <x v="2"/>
    <s v="Linda"/>
    <s v="Wilson"/>
    <x v="1"/>
    <n v="2"/>
    <s v="0-10"/>
    <x v="1"/>
    <s v="Consultation"/>
    <x v="2"/>
    <s v="Physiotherapy"/>
    <x v="7"/>
    <x v="5"/>
    <n v="3413.64"/>
  </r>
  <r>
    <s v="P039"/>
    <x v="0"/>
    <d v="1950-12-12T00:00:00"/>
    <n v="74.894444444444446"/>
    <x v="2"/>
    <s v="Linda"/>
    <s v="Wilson"/>
    <x v="1"/>
    <n v="2"/>
    <s v="0-10"/>
    <x v="1"/>
    <s v="Follow-up"/>
    <x v="0"/>
    <s v="Physiotherapy"/>
    <x v="8"/>
    <x v="6"/>
    <n v="4541.1400000000003"/>
  </r>
  <r>
    <s v="P005"/>
    <x v="1"/>
    <d v="1960-06-23T00:00:00"/>
    <n v="65.363888888888894"/>
    <x v="1"/>
    <s v="Jane"/>
    <s v="Smith"/>
    <x v="0"/>
    <n v="19"/>
    <s v="11-20"/>
    <x v="1"/>
    <s v="Therapy"/>
    <x v="3"/>
    <s v="Physiotherapy"/>
    <x v="9"/>
    <x v="7"/>
    <n v="1595.67"/>
  </r>
  <r>
    <s v="P022"/>
    <x v="1"/>
    <d v="1955-05-10T00:00:00"/>
    <n v="70.483333333333334"/>
    <x v="1"/>
    <s v="Robert"/>
    <s v="Davis"/>
    <x v="1"/>
    <n v="4"/>
    <s v="0-10"/>
    <x v="2"/>
    <s v="Checkup"/>
    <x v="1"/>
    <s v="MRI"/>
    <x v="10"/>
    <x v="8"/>
    <n v="4671.66"/>
  </r>
  <r>
    <s v="P029"/>
    <x v="1"/>
    <d v="2005-05-15T00:00:00"/>
    <n v="20.469444444444445"/>
    <x v="3"/>
    <s v="Jane"/>
    <s v="Smith"/>
    <x v="0"/>
    <n v="19"/>
    <s v="11-20"/>
    <x v="1"/>
    <s v="Follow-up"/>
    <x v="3"/>
    <s v="Chemotherapy"/>
    <x v="11"/>
    <x v="5"/>
    <n v="771.2"/>
  </r>
  <r>
    <s v="P003"/>
    <x v="1"/>
    <d v="1977-08-21T00:00:00"/>
    <n v="48.202777777777776"/>
    <x v="2"/>
    <s v="Jane"/>
    <s v="Davis"/>
    <x v="0"/>
    <n v="24"/>
    <s v="20+"/>
    <x v="1"/>
    <s v="Emergency"/>
    <x v="0"/>
    <s v="MRI"/>
    <x v="12"/>
    <x v="0"/>
    <n v="4704.96"/>
  </r>
  <r>
    <s v="P012"/>
    <x v="0"/>
    <d v="1991-12-08T00:00:00"/>
    <n v="33.905555555555559"/>
    <x v="1"/>
    <s v="Linda"/>
    <s v="Wilson"/>
    <x v="1"/>
    <n v="2"/>
    <s v="0-10"/>
    <x v="1"/>
    <s v="Emergency"/>
    <x v="2"/>
    <s v="ECG"/>
    <x v="13"/>
    <x v="5"/>
    <n v="2082.3000000000002"/>
  </r>
  <r>
    <s v="P026"/>
    <x v="1"/>
    <d v="2003-11-28T00:00:00"/>
    <n v="21.933333333333334"/>
    <x v="1"/>
    <s v="David"/>
    <s v="Jones"/>
    <x v="0"/>
    <n v="28"/>
    <s v="20+"/>
    <x v="0"/>
    <s v="Consultation"/>
    <x v="1"/>
    <s v="Physiotherapy"/>
    <x v="14"/>
    <x v="7"/>
    <n v="956.39"/>
  </r>
  <r>
    <s v="P016"/>
    <x v="1"/>
    <d v="2000-07-22T00:00:00"/>
    <n v="25.283333333333335"/>
    <x v="2"/>
    <s v="Linda"/>
    <s v="Brown"/>
    <x v="2"/>
    <n v="5"/>
    <s v="0-10"/>
    <x v="2"/>
    <s v="Consultation"/>
    <x v="0"/>
    <s v="MRI"/>
    <x v="15"/>
    <x v="1"/>
    <n v="2686.42"/>
  </r>
  <r>
    <s v="P037"/>
    <x v="1"/>
    <d v="1999-02-05T00:00:00"/>
    <n v="26.747222222222224"/>
    <x v="3"/>
    <s v="Sarah"/>
    <s v="Smith"/>
    <x v="0"/>
    <n v="4"/>
    <s v="0-10"/>
    <x v="0"/>
    <s v="Emergency"/>
    <x v="0"/>
    <s v="MRI"/>
    <x v="16"/>
    <x v="3"/>
    <n v="1655.49"/>
  </r>
  <r>
    <s v="P022"/>
    <x v="1"/>
    <d v="1955-05-10T00:00:00"/>
    <n v="70.483333333333334"/>
    <x v="1"/>
    <s v="Robert"/>
    <s v="Davis"/>
    <x v="1"/>
    <n v="4"/>
    <s v="0-10"/>
    <x v="2"/>
    <s v="Consultation"/>
    <x v="2"/>
    <s v="ECG"/>
    <x v="17"/>
    <x v="8"/>
    <n v="1781.93"/>
  </r>
  <r>
    <s v="P029"/>
    <x v="1"/>
    <d v="2005-05-15T00:00:00"/>
    <n v="20.469444444444445"/>
    <x v="3"/>
    <s v="David"/>
    <s v="Taylor"/>
    <x v="2"/>
    <n v="17"/>
    <s v="11-20"/>
    <x v="2"/>
    <s v="Checkup"/>
    <x v="2"/>
    <s v="X-Ray"/>
    <x v="18"/>
    <x v="9"/>
    <n v="1882.8"/>
  </r>
  <r>
    <s v="P014"/>
    <x v="1"/>
    <d v="1968-02-27T00:00:00"/>
    <n v="57.68611111111111"/>
    <x v="1"/>
    <s v="Jane"/>
    <s v="Smith"/>
    <x v="0"/>
    <n v="19"/>
    <s v="11-20"/>
    <x v="1"/>
    <s v="Consultation"/>
    <x v="3"/>
    <s v="Chemotherapy"/>
    <x v="19"/>
    <x v="10"/>
    <n v="4113.62"/>
  </r>
  <r>
    <s v="P028"/>
    <x v="1"/>
    <d v="1993-04-13T00:00:00"/>
    <n v="32.55833333333333"/>
    <x v="1"/>
    <s v="Sarah"/>
    <s v="Smith"/>
    <x v="0"/>
    <n v="4"/>
    <s v="0-10"/>
    <x v="0"/>
    <s v="Therapy"/>
    <x v="1"/>
    <s v="X-Ray"/>
    <x v="20"/>
    <x v="4"/>
    <n v="2926.23"/>
  </r>
  <r>
    <s v="P005"/>
    <x v="1"/>
    <d v="1960-06-23T00:00:00"/>
    <n v="65.363888888888894"/>
    <x v="1"/>
    <s v="David"/>
    <s v="Taylor"/>
    <x v="2"/>
    <n v="17"/>
    <s v="11-20"/>
    <x v="2"/>
    <s v="Consultation"/>
    <x v="1"/>
    <s v="Physiotherapy"/>
    <x v="17"/>
    <x v="8"/>
    <n v="1900.88"/>
  </r>
  <r>
    <s v="P047"/>
    <x v="1"/>
    <d v="1995-12-13T00:00:00"/>
    <n v="29.891666666666666"/>
    <x v="0"/>
    <s v="Sarah"/>
    <s v="Smith"/>
    <x v="0"/>
    <n v="4"/>
    <s v="0-10"/>
    <x v="0"/>
    <s v="Follow-up"/>
    <x v="2"/>
    <s v="MRI"/>
    <x v="21"/>
    <x v="5"/>
    <n v="3246.5"/>
  </r>
  <r>
    <s v="P049"/>
    <x v="1"/>
    <d v="1972-11-26T00:00:00"/>
    <n v="52.93888888888889"/>
    <x v="1"/>
    <s v="Linda"/>
    <s v="Brown"/>
    <x v="2"/>
    <n v="5"/>
    <s v="0-10"/>
    <x v="2"/>
    <s v="Checkup"/>
    <x v="3"/>
    <s v="ECG"/>
    <x v="22"/>
    <x v="1"/>
    <n v="3722.68"/>
  </r>
  <r>
    <s v="P030"/>
    <x v="1"/>
    <d v="1964-12-23T00:00:00"/>
    <n v="60.863888888888887"/>
    <x v="2"/>
    <s v="David"/>
    <s v="Taylor"/>
    <x v="2"/>
    <n v="17"/>
    <s v="11-20"/>
    <x v="2"/>
    <s v="Follow-up"/>
    <x v="1"/>
    <s v="ECG"/>
    <x v="23"/>
    <x v="9"/>
    <n v="1726.81"/>
  </r>
  <r>
    <s v="P046"/>
    <x v="0"/>
    <d v="1986-09-01T00:00:00"/>
    <n v="39.174999999999997"/>
    <x v="1"/>
    <s v="Alex"/>
    <s v="Davis"/>
    <x v="0"/>
    <n v="23"/>
    <s v="20+"/>
    <x v="0"/>
    <s v="Follow-up"/>
    <x v="2"/>
    <s v="Chemotherapy"/>
    <x v="24"/>
    <x v="6"/>
    <n v="2360.9699999999998"/>
  </r>
  <r>
    <s v="P005"/>
    <x v="1"/>
    <d v="1960-06-23T00:00:00"/>
    <n v="65.363888888888894"/>
    <x v="1"/>
    <s v="Sarah"/>
    <s v="Taylor"/>
    <x v="2"/>
    <n v="4"/>
    <s v="0-10"/>
    <x v="0"/>
    <s v="Therapy"/>
    <x v="0"/>
    <s v="X-Ray"/>
    <x v="17"/>
    <x v="8"/>
    <n v="1048.49"/>
  </r>
  <r>
    <s v="P012"/>
    <x v="0"/>
    <d v="1991-12-08T00:00:00"/>
    <n v="33.905555555555559"/>
    <x v="1"/>
    <s v="Alex"/>
    <s v="Davis"/>
    <x v="0"/>
    <n v="23"/>
    <s v="20+"/>
    <x v="0"/>
    <s v="Checkup"/>
    <x v="1"/>
    <s v="Chemotherapy"/>
    <x v="25"/>
    <x v="11"/>
    <n v="1315.17"/>
  </r>
  <r>
    <s v="P016"/>
    <x v="1"/>
    <d v="2000-07-22T00:00:00"/>
    <n v="25.283333333333335"/>
    <x v="2"/>
    <s v="Linda"/>
    <s v="Wilson"/>
    <x v="1"/>
    <n v="2"/>
    <s v="0-10"/>
    <x v="1"/>
    <s v="Checkup"/>
    <x v="3"/>
    <s v="MRI"/>
    <x v="26"/>
    <x v="1"/>
    <n v="3565.03"/>
  </r>
  <r>
    <s v="P026"/>
    <x v="1"/>
    <d v="2003-11-28T00:00:00"/>
    <n v="21.933333333333334"/>
    <x v="1"/>
    <s v="Sarah"/>
    <s v="Taylor"/>
    <x v="2"/>
    <n v="4"/>
    <s v="0-10"/>
    <x v="0"/>
    <s v="Checkup"/>
    <x v="3"/>
    <s v="Chemotherapy"/>
    <x v="27"/>
    <x v="0"/>
    <n v="1316.47"/>
  </r>
  <r>
    <s v="P026"/>
    <x v="1"/>
    <d v="2003-11-28T00:00:00"/>
    <n v="21.933333333333334"/>
    <x v="1"/>
    <s v="Alex"/>
    <s v="Davis"/>
    <x v="0"/>
    <n v="23"/>
    <s v="20+"/>
    <x v="0"/>
    <s v="Checkup"/>
    <x v="3"/>
    <s v="ECG"/>
    <x v="28"/>
    <x v="4"/>
    <n v="2863.24"/>
  </r>
  <r>
    <s v="P048"/>
    <x v="1"/>
    <d v="1983-03-24T00:00:00"/>
    <n v="42.611111111111114"/>
    <x v="2"/>
    <s v="Sarah"/>
    <s v="Taylor"/>
    <x v="2"/>
    <n v="4"/>
    <s v="0-10"/>
    <x v="0"/>
    <s v="Checkup"/>
    <x v="0"/>
    <s v="ECG"/>
    <x v="29"/>
    <x v="8"/>
    <n v="3690.71"/>
  </r>
  <r>
    <s v="P021"/>
    <x v="1"/>
    <d v="2002-03-01T00:00:00"/>
    <n v="23.675000000000001"/>
    <x v="0"/>
    <s v="Sarah"/>
    <s v="Taylor"/>
    <x v="2"/>
    <n v="4"/>
    <s v="0-10"/>
    <x v="0"/>
    <s v="Therapy"/>
    <x v="1"/>
    <s v="Physiotherapy"/>
    <x v="30"/>
    <x v="2"/>
    <n v="980.95"/>
  </r>
  <r>
    <s v="P039"/>
    <x v="0"/>
    <d v="1950-12-12T00:00:00"/>
    <n v="74.894444444444446"/>
    <x v="2"/>
    <s v="David"/>
    <s v="Jones"/>
    <x v="0"/>
    <n v="28"/>
    <s v="20+"/>
    <x v="0"/>
    <s v="Consultation"/>
    <x v="1"/>
    <s v="Physiotherapy"/>
    <x v="31"/>
    <x v="1"/>
    <n v="3052.9"/>
  </r>
  <r>
    <s v="P036"/>
    <x v="1"/>
    <d v="1997-12-26T00:00:00"/>
    <n v="27.855555555555554"/>
    <x v="1"/>
    <s v="Jane"/>
    <s v="Smith"/>
    <x v="0"/>
    <n v="19"/>
    <s v="11-20"/>
    <x v="1"/>
    <s v="Follow-up"/>
    <x v="0"/>
    <s v="MRI"/>
    <x v="32"/>
    <x v="4"/>
    <n v="1654.53"/>
  </r>
  <r>
    <s v="P033"/>
    <x v="0"/>
    <d v="1970-02-06T00:00:00"/>
    <n v="55.744444444444447"/>
    <x v="1"/>
    <s v="Jane"/>
    <s v="Smith"/>
    <x v="0"/>
    <n v="19"/>
    <s v="11-20"/>
    <x v="1"/>
    <s v="Checkup"/>
    <x v="1"/>
    <s v="X-Ray"/>
    <x v="33"/>
    <x v="7"/>
    <n v="4833.17"/>
  </r>
  <r>
    <s v="P030"/>
    <x v="1"/>
    <d v="1964-12-23T00:00:00"/>
    <n v="60.863888888888887"/>
    <x v="2"/>
    <s v="David"/>
    <s v="Jones"/>
    <x v="0"/>
    <n v="28"/>
    <s v="20+"/>
    <x v="0"/>
    <s v="Consultation"/>
    <x v="0"/>
    <s v="Chemotherapy"/>
    <x v="34"/>
    <x v="6"/>
    <n v="2675.96"/>
  </r>
  <r>
    <s v="P037"/>
    <x v="1"/>
    <d v="1999-02-05T00:00:00"/>
    <n v="26.747222222222224"/>
    <x v="3"/>
    <s v="Sarah"/>
    <s v="Smith"/>
    <x v="0"/>
    <n v="4"/>
    <s v="0-10"/>
    <x v="0"/>
    <s v="Consultation"/>
    <x v="0"/>
    <s v="MRI"/>
    <x v="35"/>
    <x v="9"/>
    <n v="4126.97"/>
  </r>
  <r>
    <s v="P023"/>
    <x v="1"/>
    <d v="1994-02-22T00:00:00"/>
    <n v="31.7"/>
    <x v="0"/>
    <s v="Jane"/>
    <s v="Davis"/>
    <x v="0"/>
    <n v="24"/>
    <s v="20+"/>
    <x v="1"/>
    <s v="Follow-up"/>
    <x v="0"/>
    <s v="Physiotherapy"/>
    <x v="36"/>
    <x v="4"/>
    <n v="2976.02"/>
  </r>
  <r>
    <s v="P010"/>
    <x v="1"/>
    <d v="2001-10-13T00:00:00"/>
    <n v="24.058333333333334"/>
    <x v="0"/>
    <s v="Sarah"/>
    <s v="Smith"/>
    <x v="0"/>
    <n v="4"/>
    <s v="0-10"/>
    <x v="0"/>
    <s v="Therapy"/>
    <x v="3"/>
    <s v="Chemotherapy"/>
    <x v="37"/>
    <x v="6"/>
    <n v="695.36"/>
  </r>
  <r>
    <s v="P005"/>
    <x v="1"/>
    <d v="1960-06-23T00:00:00"/>
    <n v="65.363888888888894"/>
    <x v="1"/>
    <s v="David"/>
    <s v="Taylor"/>
    <x v="2"/>
    <n v="17"/>
    <s v="11-20"/>
    <x v="2"/>
    <s v="Emergency"/>
    <x v="1"/>
    <s v="Physiotherapy"/>
    <x v="38"/>
    <x v="7"/>
    <n v="3349.18"/>
  </r>
  <r>
    <s v="P036"/>
    <x v="1"/>
    <d v="1997-12-26T00:00:00"/>
    <n v="27.855555555555554"/>
    <x v="1"/>
    <s v="David"/>
    <s v="Taylor"/>
    <x v="2"/>
    <n v="17"/>
    <s v="11-20"/>
    <x v="2"/>
    <s v="Emergency"/>
    <x v="0"/>
    <s v="Chemotherapy"/>
    <x v="39"/>
    <x v="6"/>
    <n v="4781.32"/>
  </r>
  <r>
    <s v="P034"/>
    <x v="0"/>
    <d v="1950-01-26T00:00:00"/>
    <n v="75.772222222222226"/>
    <x v="0"/>
    <s v="Sarah"/>
    <s v="Taylor"/>
    <x v="2"/>
    <n v="4"/>
    <s v="0-10"/>
    <x v="0"/>
    <s v="Consultation"/>
    <x v="1"/>
    <s v="X-Ray"/>
    <x v="40"/>
    <x v="6"/>
    <n v="3207.25"/>
  </r>
  <r>
    <s v="P031"/>
    <x v="1"/>
    <d v="1987-01-14T00:00:00"/>
    <n v="38.805555555555557"/>
    <x v="0"/>
    <s v="Alex"/>
    <s v="Davis"/>
    <x v="0"/>
    <n v="23"/>
    <s v="20+"/>
    <x v="0"/>
    <s v="Follow-up"/>
    <x v="3"/>
    <s v="MRI"/>
    <x v="41"/>
    <x v="2"/>
    <n v="4186.3500000000004"/>
  </r>
  <r>
    <s v="P010"/>
    <x v="1"/>
    <d v="2001-10-13T00:00:00"/>
    <n v="24.058333333333334"/>
    <x v="0"/>
    <s v="Alex"/>
    <s v="Davis"/>
    <x v="0"/>
    <n v="23"/>
    <s v="20+"/>
    <x v="0"/>
    <s v="Emergency"/>
    <x v="0"/>
    <s v="Chemotherapy"/>
    <x v="42"/>
    <x v="2"/>
    <n v="4478.93"/>
  </r>
  <r>
    <s v="P019"/>
    <x v="1"/>
    <d v="1975-05-24T00:00:00"/>
    <n v="50.444444444444443"/>
    <x v="0"/>
    <s v="Jane"/>
    <s v="Smith"/>
    <x v="0"/>
    <n v="19"/>
    <s v="11-20"/>
    <x v="1"/>
    <s v="Consultation"/>
    <x v="2"/>
    <s v="ECG"/>
    <x v="43"/>
    <x v="10"/>
    <n v="1526.36"/>
  </r>
  <r>
    <s v="P032"/>
    <x v="1"/>
    <d v="1981-01-08T00:00:00"/>
    <n v="44.822222222222223"/>
    <x v="1"/>
    <s v="Robert"/>
    <s v="Davis"/>
    <x v="1"/>
    <n v="4"/>
    <s v="0-10"/>
    <x v="2"/>
    <s v="Therapy"/>
    <x v="3"/>
    <s v="ECG"/>
    <x v="44"/>
    <x v="5"/>
    <n v="1454.2"/>
  </r>
  <r>
    <s v="P001"/>
    <x v="0"/>
    <d v="1955-06-04T00:00:00"/>
    <n v="70.416666666666671"/>
    <x v="0"/>
    <s v="Sarah"/>
    <s v="Smith"/>
    <x v="0"/>
    <n v="4"/>
    <s v="0-10"/>
    <x v="0"/>
    <s v="Emergency"/>
    <x v="2"/>
    <s v="Chemotherapy"/>
    <x v="45"/>
    <x v="7"/>
    <n v="3249.41"/>
  </r>
  <r>
    <s v="P005"/>
    <x v="1"/>
    <d v="1960-06-23T00:00:00"/>
    <n v="65.363888888888894"/>
    <x v="1"/>
    <s v="Linda"/>
    <s v="Wilson"/>
    <x v="1"/>
    <n v="2"/>
    <s v="0-10"/>
    <x v="1"/>
    <s v="Consultation"/>
    <x v="1"/>
    <s v="Chemotherapy"/>
    <x v="46"/>
    <x v="4"/>
    <n v="2349.63"/>
  </r>
  <r>
    <s v="P045"/>
    <x v="0"/>
    <d v="1966-04-25T00:00:00"/>
    <n v="59.524999999999999"/>
    <x v="1"/>
    <s v="Linda"/>
    <s v="Brown"/>
    <x v="2"/>
    <n v="5"/>
    <s v="0-10"/>
    <x v="2"/>
    <s v="Consultation"/>
    <x v="1"/>
    <s v="Chemotherapy"/>
    <x v="12"/>
    <x v="0"/>
    <n v="4279.38"/>
  </r>
  <r>
    <s v="P004"/>
    <x v="0"/>
    <d v="1981-02-20T00:00:00"/>
    <n v="44.705555555555556"/>
    <x v="3"/>
    <s v="Alex"/>
    <s v="Davis"/>
    <x v="0"/>
    <n v="23"/>
    <s v="20+"/>
    <x v="0"/>
    <s v="Checkup"/>
    <x v="3"/>
    <s v="ECG"/>
    <x v="47"/>
    <x v="9"/>
    <n v="4550.1000000000004"/>
  </r>
  <r>
    <s v="P016"/>
    <x v="1"/>
    <d v="2000-07-22T00:00:00"/>
    <n v="25.283333333333335"/>
    <x v="2"/>
    <s v="Linda"/>
    <s v="Brown"/>
    <x v="2"/>
    <n v="5"/>
    <s v="0-10"/>
    <x v="2"/>
    <s v="Therapy"/>
    <x v="1"/>
    <s v="ECG"/>
    <x v="48"/>
    <x v="3"/>
    <n v="2090.4"/>
  </r>
  <r>
    <s v="P024"/>
    <x v="0"/>
    <d v="1991-11-04T00:00:00"/>
    <n v="34"/>
    <x v="0"/>
    <s v="Sarah"/>
    <s v="Taylor"/>
    <x v="2"/>
    <n v="4"/>
    <s v="0-10"/>
    <x v="0"/>
    <s v="Checkup"/>
    <x v="2"/>
    <s v="Chemotherapy"/>
    <x v="49"/>
    <x v="9"/>
    <n v="1565.92"/>
  </r>
  <r>
    <s v="P016"/>
    <x v="1"/>
    <d v="2000-07-22T00:00:00"/>
    <n v="25.283333333333335"/>
    <x v="2"/>
    <s v="Linda"/>
    <s v="Brown"/>
    <x v="2"/>
    <n v="5"/>
    <s v="0-10"/>
    <x v="2"/>
    <s v="Follow-up"/>
    <x v="0"/>
    <s v="Physiotherapy"/>
    <x v="50"/>
    <x v="10"/>
    <n v="4012.36"/>
  </r>
  <r>
    <s v="P002"/>
    <x v="0"/>
    <d v="1984-10-12T00:00:00"/>
    <n v="41.06111111111111"/>
    <x v="2"/>
    <s v="Linda"/>
    <s v="Wilson"/>
    <x v="1"/>
    <n v="2"/>
    <s v="0-10"/>
    <x v="1"/>
    <s v="Checkup"/>
    <x v="0"/>
    <s v="Physiotherapy"/>
    <x v="51"/>
    <x v="11"/>
    <n v="1736.63"/>
  </r>
  <r>
    <s v="P049"/>
    <x v="1"/>
    <d v="1972-11-26T00:00:00"/>
    <n v="52.93888888888889"/>
    <x v="1"/>
    <s v="David"/>
    <s v="Jones"/>
    <x v="0"/>
    <n v="28"/>
    <s v="20+"/>
    <x v="0"/>
    <s v="Checkup"/>
    <x v="0"/>
    <s v="X-Ray"/>
    <x v="52"/>
    <x v="7"/>
    <n v="4201.76"/>
  </r>
  <r>
    <s v="P028"/>
    <x v="1"/>
    <d v="1993-04-13T00:00:00"/>
    <n v="32.55833333333333"/>
    <x v="1"/>
    <s v="Linda"/>
    <s v="Wilson"/>
    <x v="1"/>
    <n v="2"/>
    <s v="0-10"/>
    <x v="1"/>
    <s v="Emergency"/>
    <x v="3"/>
    <s v="MRI"/>
    <x v="53"/>
    <x v="4"/>
    <n v="2406.8200000000002"/>
  </r>
  <r>
    <s v="P032"/>
    <x v="1"/>
    <d v="1981-01-08T00:00:00"/>
    <n v="44.822222222222223"/>
    <x v="1"/>
    <s v="Linda"/>
    <s v="Brown"/>
    <x v="2"/>
    <n v="5"/>
    <s v="0-10"/>
    <x v="2"/>
    <s v="Consultation"/>
    <x v="1"/>
    <s v="Physiotherapy"/>
    <x v="21"/>
    <x v="5"/>
    <n v="3503.97"/>
  </r>
  <r>
    <s v="P027"/>
    <x v="0"/>
    <d v="1998-06-29T00:00:00"/>
    <n v="27.347222222222221"/>
    <x v="3"/>
    <s v="Linda"/>
    <s v="Wilson"/>
    <x v="1"/>
    <n v="2"/>
    <s v="0-10"/>
    <x v="1"/>
    <s v="Therapy"/>
    <x v="2"/>
    <s v="ECG"/>
    <x v="54"/>
    <x v="6"/>
    <n v="929.91"/>
  </r>
  <r>
    <s v="P020"/>
    <x v="0"/>
    <d v="2003-06-06T00:00:00"/>
    <n v="22.411111111111111"/>
    <x v="1"/>
    <s v="Jane"/>
    <s v="Davis"/>
    <x v="0"/>
    <n v="24"/>
    <s v="20+"/>
    <x v="1"/>
    <s v="Checkup"/>
    <x v="1"/>
    <s v="Physiotherapy"/>
    <x v="55"/>
    <x v="8"/>
    <n v="3307.37"/>
  </r>
  <r>
    <s v="P024"/>
    <x v="0"/>
    <d v="1991-11-04T00:00:00"/>
    <n v="34"/>
    <x v="0"/>
    <s v="Sarah"/>
    <s v="Taylor"/>
    <x v="2"/>
    <n v="4"/>
    <s v="0-10"/>
    <x v="0"/>
    <s v="Therapy"/>
    <x v="1"/>
    <s v="X-Ray"/>
    <x v="14"/>
    <x v="7"/>
    <n v="2532.9499999999998"/>
  </r>
  <r>
    <s v="P012"/>
    <x v="0"/>
    <d v="1991-12-08T00:00:00"/>
    <n v="33.905555555555559"/>
    <x v="1"/>
    <s v="Sarah"/>
    <s v="Smith"/>
    <x v="0"/>
    <n v="4"/>
    <s v="0-10"/>
    <x v="0"/>
    <s v="Checkup"/>
    <x v="1"/>
    <s v="X-Ray"/>
    <x v="56"/>
    <x v="1"/>
    <n v="3139.74"/>
  </r>
  <r>
    <s v="P050"/>
    <x v="1"/>
    <d v="1993-12-27T00:00:00"/>
    <n v="31.852777777777778"/>
    <x v="0"/>
    <s v="David"/>
    <s v="Jones"/>
    <x v="0"/>
    <n v="28"/>
    <s v="20+"/>
    <x v="0"/>
    <s v="Follow-up"/>
    <x v="0"/>
    <s v="MRI"/>
    <x v="57"/>
    <x v="1"/>
    <n v="1256.06"/>
  </r>
  <r>
    <s v="P035"/>
    <x v="0"/>
    <d v="1993-04-13T00:00:00"/>
    <n v="32.55833333333333"/>
    <x v="1"/>
    <s v="Alex"/>
    <s v="Davis"/>
    <x v="0"/>
    <n v="23"/>
    <s v="20+"/>
    <x v="0"/>
    <s v="Checkup"/>
    <x v="2"/>
    <s v="Physiotherapy"/>
    <x v="58"/>
    <x v="5"/>
    <n v="3815.93"/>
  </r>
  <r>
    <s v="P033"/>
    <x v="0"/>
    <d v="1970-02-06T00:00:00"/>
    <n v="55.744444444444447"/>
    <x v="1"/>
    <s v="David"/>
    <s v="Taylor"/>
    <x v="2"/>
    <n v="17"/>
    <s v="11-20"/>
    <x v="2"/>
    <s v="Emergency"/>
    <x v="2"/>
    <s v="ECG"/>
    <x v="20"/>
    <x v="4"/>
    <n v="4382.59"/>
  </r>
  <r>
    <s v="P033"/>
    <x v="0"/>
    <d v="1970-02-06T00:00:00"/>
    <n v="55.744444444444447"/>
    <x v="1"/>
    <s v="Sarah"/>
    <s v="Smith"/>
    <x v="0"/>
    <n v="4"/>
    <s v="0-10"/>
    <x v="0"/>
    <s v="Consultation"/>
    <x v="1"/>
    <s v="ECG"/>
    <x v="59"/>
    <x v="5"/>
    <n v="1475.33"/>
  </r>
  <r>
    <s v="P043"/>
    <x v="1"/>
    <d v="1980-03-25T00:00:00"/>
    <n v="45.608333333333334"/>
    <x v="0"/>
    <s v="David"/>
    <s v="Taylor"/>
    <x v="2"/>
    <n v="17"/>
    <s v="11-20"/>
    <x v="2"/>
    <s v="Follow-up"/>
    <x v="0"/>
    <s v="Chemotherapy"/>
    <x v="60"/>
    <x v="0"/>
    <n v="930.72"/>
  </r>
  <r>
    <s v="P037"/>
    <x v="1"/>
    <d v="1999-02-05T00:00:00"/>
    <n v="26.747222222222224"/>
    <x v="3"/>
    <s v="Sarah"/>
    <s v="Taylor"/>
    <x v="2"/>
    <n v="4"/>
    <s v="0-10"/>
    <x v="0"/>
    <s v="Checkup"/>
    <x v="0"/>
    <s v="ECG"/>
    <x v="61"/>
    <x v="6"/>
    <n v="606.37"/>
  </r>
  <r>
    <s v="P012"/>
    <x v="0"/>
    <d v="1991-12-08T00:00:00"/>
    <n v="33.905555555555559"/>
    <x v="1"/>
    <s v="David"/>
    <s v="Jones"/>
    <x v="0"/>
    <n v="28"/>
    <s v="20+"/>
    <x v="0"/>
    <s v="Therapy"/>
    <x v="2"/>
    <s v="MRI"/>
    <x v="40"/>
    <x v="6"/>
    <n v="3388.87"/>
  </r>
  <r>
    <s v="P003"/>
    <x v="1"/>
    <d v="1977-08-21T00:00:00"/>
    <n v="48.202777777777776"/>
    <x v="2"/>
    <s v="Jane"/>
    <s v="Smith"/>
    <x v="0"/>
    <n v="19"/>
    <s v="11-20"/>
    <x v="1"/>
    <s v="Follow-up"/>
    <x v="0"/>
    <s v="MRI"/>
    <x v="62"/>
    <x v="0"/>
    <n v="3231.92"/>
  </r>
  <r>
    <s v="P001"/>
    <x v="0"/>
    <d v="1955-06-04T00:00:00"/>
    <n v="70.416666666666671"/>
    <x v="0"/>
    <s v="Alex"/>
    <s v="Davis"/>
    <x v="0"/>
    <n v="23"/>
    <s v="20+"/>
    <x v="0"/>
    <s v="Follow-up"/>
    <x v="0"/>
    <s v="ECG"/>
    <x v="63"/>
    <x v="7"/>
    <n v="2960.14"/>
  </r>
  <r>
    <s v="P033"/>
    <x v="0"/>
    <d v="1970-02-06T00:00:00"/>
    <n v="55.744444444444447"/>
    <x v="1"/>
    <s v="Jane"/>
    <s v="Davis"/>
    <x v="0"/>
    <n v="24"/>
    <s v="20+"/>
    <x v="1"/>
    <s v="Checkup"/>
    <x v="0"/>
    <s v="ECG"/>
    <x v="64"/>
    <x v="1"/>
    <n v="1543.76"/>
  </r>
  <r>
    <s v="P040"/>
    <x v="1"/>
    <d v="1972-05-30T00:00:00"/>
    <n v="53.427777777777777"/>
    <x v="2"/>
    <s v="Jane"/>
    <s v="Smith"/>
    <x v="0"/>
    <n v="19"/>
    <s v="11-20"/>
    <x v="1"/>
    <s v="Follow-up"/>
    <x v="3"/>
    <s v="Chemotherapy"/>
    <x v="65"/>
    <x v="10"/>
    <n v="2259.08"/>
  </r>
  <r>
    <s v="P010"/>
    <x v="1"/>
    <d v="2001-10-13T00:00:00"/>
    <n v="24.058333333333334"/>
    <x v="0"/>
    <s v="Sarah"/>
    <s v="Taylor"/>
    <x v="2"/>
    <n v="4"/>
    <s v="0-10"/>
    <x v="0"/>
    <s v="Therapy"/>
    <x v="1"/>
    <s v="ECG"/>
    <x v="66"/>
    <x v="3"/>
    <n v="3175.14"/>
  </r>
  <r>
    <s v="P043"/>
    <x v="1"/>
    <d v="1980-03-25T00:00:00"/>
    <n v="45.608333333333334"/>
    <x v="0"/>
    <s v="Sarah"/>
    <s v="Smith"/>
    <x v="0"/>
    <n v="4"/>
    <s v="0-10"/>
    <x v="0"/>
    <s v="Follow-up"/>
    <x v="2"/>
    <s v="Chemotherapy"/>
    <x v="67"/>
    <x v="5"/>
    <n v="2735.45"/>
  </r>
  <r>
    <s v="P044"/>
    <x v="0"/>
    <d v="1976-03-11T00:00:00"/>
    <n v="49.647222222222226"/>
    <x v="2"/>
    <s v="Jane"/>
    <s v="Davis"/>
    <x v="0"/>
    <n v="24"/>
    <s v="20+"/>
    <x v="1"/>
    <s v="Therapy"/>
    <x v="2"/>
    <s v="Chemotherapy"/>
    <x v="68"/>
    <x v="8"/>
    <n v="4945.03"/>
  </r>
  <r>
    <s v="P029"/>
    <x v="1"/>
    <d v="2005-05-15T00:00:00"/>
    <n v="20.469444444444445"/>
    <x v="3"/>
    <s v="Linda"/>
    <s v="Wilson"/>
    <x v="1"/>
    <n v="2"/>
    <s v="0-10"/>
    <x v="1"/>
    <s v="Checkup"/>
    <x v="3"/>
    <s v="ECG"/>
    <x v="69"/>
    <x v="10"/>
    <n v="1113.98"/>
  </r>
  <r>
    <s v="P013"/>
    <x v="0"/>
    <d v="1990-03-28T00:00:00"/>
    <n v="35.6"/>
    <x v="0"/>
    <s v="Linda"/>
    <s v="Brown"/>
    <x v="2"/>
    <n v="5"/>
    <s v="0-10"/>
    <x v="2"/>
    <s v="Consultation"/>
    <x v="1"/>
    <s v="X-Ray"/>
    <x v="70"/>
    <x v="2"/>
    <n v="3628.15"/>
  </r>
  <r>
    <s v="P012"/>
    <x v="0"/>
    <d v="1991-12-08T00:00:00"/>
    <n v="33.905555555555559"/>
    <x v="1"/>
    <s v="Jane"/>
    <s v="Davis"/>
    <x v="0"/>
    <n v="24"/>
    <s v="20+"/>
    <x v="1"/>
    <s v="Follow-up"/>
    <x v="2"/>
    <s v="X-Ray"/>
    <x v="71"/>
    <x v="10"/>
    <n v="2319.4299999999998"/>
  </r>
  <r>
    <s v="P031"/>
    <x v="1"/>
    <d v="1987-01-14T00:00:00"/>
    <n v="38.805555555555557"/>
    <x v="0"/>
    <s v="Sarah"/>
    <s v="Taylor"/>
    <x v="2"/>
    <n v="4"/>
    <s v="0-10"/>
    <x v="0"/>
    <s v="Consultation"/>
    <x v="0"/>
    <s v="Chemotherapy"/>
    <x v="72"/>
    <x v="1"/>
    <n v="2426.9"/>
  </r>
  <r>
    <s v="P046"/>
    <x v="0"/>
    <d v="1986-09-01T00:00:00"/>
    <n v="39.174999999999997"/>
    <x v="1"/>
    <s v="Robert"/>
    <s v="Davis"/>
    <x v="1"/>
    <n v="4"/>
    <s v="0-10"/>
    <x v="2"/>
    <s v="Therapy"/>
    <x v="2"/>
    <s v="ECG"/>
    <x v="73"/>
    <x v="7"/>
    <n v="3729.19"/>
  </r>
  <r>
    <s v="P002"/>
    <x v="0"/>
    <d v="1984-10-12T00:00:00"/>
    <n v="41.06111111111111"/>
    <x v="2"/>
    <s v="Linda"/>
    <s v="Brown"/>
    <x v="2"/>
    <n v="5"/>
    <s v="0-10"/>
    <x v="2"/>
    <s v="Follow-up"/>
    <x v="0"/>
    <s v="X-Ray"/>
    <x v="74"/>
    <x v="7"/>
    <n v="3615.96"/>
  </r>
  <r>
    <s v="P050"/>
    <x v="1"/>
    <d v="1993-12-27T00:00:00"/>
    <n v="31.852777777777778"/>
    <x v="0"/>
    <s v="David"/>
    <s v="Taylor"/>
    <x v="2"/>
    <n v="17"/>
    <s v="11-20"/>
    <x v="2"/>
    <s v="Emergency"/>
    <x v="3"/>
    <s v="ECG"/>
    <x v="75"/>
    <x v="8"/>
    <n v="4960.6499999999996"/>
  </r>
  <r>
    <s v="P035"/>
    <x v="0"/>
    <d v="1993-04-13T00:00:00"/>
    <n v="32.55833333333333"/>
    <x v="1"/>
    <s v="Alex"/>
    <s v="Davis"/>
    <x v="0"/>
    <n v="23"/>
    <s v="20+"/>
    <x v="0"/>
    <s v="Consultation"/>
    <x v="0"/>
    <s v="ECG"/>
    <x v="58"/>
    <x v="5"/>
    <n v="1077.77"/>
  </r>
  <r>
    <s v="P023"/>
    <x v="1"/>
    <d v="1994-02-22T00:00:00"/>
    <n v="31.7"/>
    <x v="0"/>
    <s v="David"/>
    <s v="Taylor"/>
    <x v="2"/>
    <n v="17"/>
    <s v="11-20"/>
    <x v="2"/>
    <s v="Follow-up"/>
    <x v="2"/>
    <s v="ECG"/>
    <x v="76"/>
    <x v="9"/>
    <n v="968.49"/>
  </r>
  <r>
    <s v="P017"/>
    <x v="1"/>
    <d v="1991-05-01T00:00:00"/>
    <n v="34.508333333333333"/>
    <x v="0"/>
    <s v="Jane"/>
    <s v="Davis"/>
    <x v="0"/>
    <n v="24"/>
    <s v="20+"/>
    <x v="1"/>
    <s v="Consultation"/>
    <x v="2"/>
    <s v="Physiotherapy"/>
    <x v="25"/>
    <x v="11"/>
    <n v="3759.52"/>
  </r>
  <r>
    <s v="P026"/>
    <x v="1"/>
    <d v="2003-11-28T00:00:00"/>
    <n v="21.933333333333334"/>
    <x v="1"/>
    <s v="David"/>
    <s v="Taylor"/>
    <x v="2"/>
    <n v="17"/>
    <s v="11-20"/>
    <x v="2"/>
    <s v="Follow-up"/>
    <x v="2"/>
    <s v="ECG"/>
    <x v="77"/>
    <x v="11"/>
    <n v="3102.74"/>
  </r>
  <r>
    <s v="P008"/>
    <x v="0"/>
    <d v="1976-07-05T00:00:00"/>
    <n v="49.330555555555556"/>
    <x v="0"/>
    <s v="Sarah"/>
    <s v="Taylor"/>
    <x v="2"/>
    <n v="4"/>
    <s v="0-10"/>
    <x v="0"/>
    <s v="Checkup"/>
    <x v="3"/>
    <s v="Physiotherapy"/>
    <x v="44"/>
    <x v="5"/>
    <n v="1733.72"/>
  </r>
  <r>
    <s v="P029"/>
    <x v="1"/>
    <d v="2005-05-15T00:00:00"/>
    <n v="20.469444444444445"/>
    <x v="3"/>
    <s v="Linda"/>
    <s v="Wilson"/>
    <x v="1"/>
    <n v="2"/>
    <s v="0-10"/>
    <x v="1"/>
    <s v="Consultation"/>
    <x v="3"/>
    <s v="Chemotherapy"/>
    <x v="78"/>
    <x v="9"/>
    <n v="857.39"/>
  </r>
  <r>
    <s v="P026"/>
    <x v="1"/>
    <d v="2003-11-28T00:00:00"/>
    <n v="21.933333333333334"/>
    <x v="1"/>
    <s v="Sarah"/>
    <s v="Smith"/>
    <x v="0"/>
    <n v="4"/>
    <s v="0-10"/>
    <x v="0"/>
    <s v="Emergency"/>
    <x v="1"/>
    <s v="X-Ray"/>
    <x v="79"/>
    <x v="1"/>
    <n v="885.46"/>
  </r>
  <r>
    <s v="P010"/>
    <x v="1"/>
    <d v="2001-10-13T00:00:00"/>
    <n v="24.058333333333334"/>
    <x v="0"/>
    <s v="Alex"/>
    <s v="Davis"/>
    <x v="0"/>
    <n v="23"/>
    <s v="20+"/>
    <x v="0"/>
    <s v="Emergency"/>
    <x v="2"/>
    <s v="X-Ray"/>
    <x v="80"/>
    <x v="1"/>
    <n v="4523.8599999999997"/>
  </r>
  <r>
    <s v="P026"/>
    <x v="1"/>
    <d v="2003-11-28T00:00:00"/>
    <n v="21.933333333333334"/>
    <x v="1"/>
    <s v="David"/>
    <s v="Taylor"/>
    <x v="2"/>
    <n v="17"/>
    <s v="11-20"/>
    <x v="2"/>
    <s v="Therapy"/>
    <x v="0"/>
    <s v="X-Ray"/>
    <x v="81"/>
    <x v="7"/>
    <n v="1363.4"/>
  </r>
  <r>
    <s v="P034"/>
    <x v="0"/>
    <d v="1950-01-26T00:00:00"/>
    <n v="75.772222222222226"/>
    <x v="0"/>
    <s v="David"/>
    <s v="Taylor"/>
    <x v="2"/>
    <n v="17"/>
    <s v="11-20"/>
    <x v="2"/>
    <s v="Follow-up"/>
    <x v="3"/>
    <s v="X-Ray"/>
    <x v="6"/>
    <x v="4"/>
    <n v="1955.17"/>
  </r>
  <r>
    <s v="P041"/>
    <x v="1"/>
    <d v="1951-06-19T00:00:00"/>
    <n v="74.375"/>
    <x v="0"/>
    <s v="Jane"/>
    <s v="Davis"/>
    <x v="0"/>
    <n v="24"/>
    <s v="20+"/>
    <x v="1"/>
    <s v="Consultation"/>
    <x v="2"/>
    <s v="X-Ray"/>
    <x v="82"/>
    <x v="4"/>
    <n v="1519.95"/>
  </r>
  <r>
    <s v="P007"/>
    <x v="0"/>
    <d v="1989-06-08T00:00:00"/>
    <n v="36.405555555555559"/>
    <x v="1"/>
    <s v="Sarah"/>
    <s v="Smith"/>
    <x v="0"/>
    <n v="4"/>
    <s v="0-10"/>
    <x v="0"/>
    <s v="Therapy"/>
    <x v="2"/>
    <s v="X-Ray"/>
    <x v="21"/>
    <x v="5"/>
    <n v="2097.48"/>
  </r>
  <r>
    <s v="P004"/>
    <x v="0"/>
    <d v="1981-02-20T00:00:00"/>
    <n v="44.705555555555556"/>
    <x v="3"/>
    <s v="Jane"/>
    <s v="Smith"/>
    <x v="0"/>
    <n v="19"/>
    <s v="11-20"/>
    <x v="1"/>
    <s v="Consultation"/>
    <x v="3"/>
    <s v="X-Ray"/>
    <x v="83"/>
    <x v="3"/>
    <n v="812.41"/>
  </r>
  <r>
    <s v="P050"/>
    <x v="1"/>
    <d v="1993-12-27T00:00:00"/>
    <n v="31.852777777777778"/>
    <x v="0"/>
    <s v="David"/>
    <s v="Taylor"/>
    <x v="2"/>
    <n v="17"/>
    <s v="11-20"/>
    <x v="2"/>
    <s v="Follow-up"/>
    <x v="1"/>
    <s v="Chemotherapy"/>
    <x v="84"/>
    <x v="5"/>
    <n v="2835.77"/>
  </r>
  <r>
    <s v="P045"/>
    <x v="0"/>
    <d v="1966-04-25T00:00:00"/>
    <n v="59.524999999999999"/>
    <x v="1"/>
    <s v="Sarah"/>
    <s v="Taylor"/>
    <x v="2"/>
    <n v="4"/>
    <s v="0-10"/>
    <x v="0"/>
    <s v="Emergency"/>
    <x v="3"/>
    <s v="ECG"/>
    <x v="24"/>
    <x v="6"/>
    <n v="804.26"/>
  </r>
  <r>
    <s v="P011"/>
    <x v="0"/>
    <d v="1966-12-04T00:00:00"/>
    <n v="58.916666666666664"/>
    <x v="1"/>
    <s v="Robert"/>
    <s v="Davis"/>
    <x v="1"/>
    <n v="4"/>
    <s v="0-10"/>
    <x v="2"/>
    <s v="Checkup"/>
    <x v="3"/>
    <s v="MRI"/>
    <x v="85"/>
    <x v="3"/>
    <n v="4101.6000000000004"/>
  </r>
  <r>
    <s v="P029"/>
    <x v="1"/>
    <d v="2005-05-15T00:00:00"/>
    <n v="20.469444444444445"/>
    <x v="3"/>
    <s v="Alex"/>
    <s v="Davis"/>
    <x v="0"/>
    <n v="23"/>
    <s v="20+"/>
    <x v="0"/>
    <s v="Emergency"/>
    <x v="0"/>
    <s v="Physiotherapy"/>
    <x v="86"/>
    <x v="6"/>
    <n v="1551.7"/>
  </r>
  <r>
    <s v="P036"/>
    <x v="1"/>
    <d v="1997-12-26T00:00:00"/>
    <n v="27.855555555555554"/>
    <x v="1"/>
    <s v="David"/>
    <s v="Taylor"/>
    <x v="2"/>
    <n v="17"/>
    <s v="11-20"/>
    <x v="2"/>
    <s v="Therapy"/>
    <x v="0"/>
    <s v="MRI"/>
    <x v="87"/>
    <x v="2"/>
    <n v="2930.05"/>
  </r>
  <r>
    <s v="P025"/>
    <x v="1"/>
    <d v="1966-08-14T00:00:00"/>
    <n v="59.222222222222221"/>
    <x v="3"/>
    <s v="Sarah"/>
    <s v="Taylor"/>
    <x v="2"/>
    <n v="4"/>
    <s v="0-10"/>
    <x v="0"/>
    <s v="Checkup"/>
    <x v="1"/>
    <s v="MRI"/>
    <x v="88"/>
    <x v="11"/>
    <n v="4460.3599999999997"/>
  </r>
  <r>
    <s v="P021"/>
    <x v="1"/>
    <d v="2002-03-01T00:00:00"/>
    <n v="23.675000000000001"/>
    <x v="0"/>
    <s v="Sarah"/>
    <s v="Taylor"/>
    <x v="2"/>
    <n v="4"/>
    <s v="0-10"/>
    <x v="0"/>
    <s v="Therapy"/>
    <x v="2"/>
    <s v="ECG"/>
    <x v="89"/>
    <x v="7"/>
    <n v="3428.95"/>
  </r>
  <r>
    <s v="P036"/>
    <x v="1"/>
    <d v="1997-12-26T00:00:00"/>
    <n v="27.855555555555554"/>
    <x v="1"/>
    <s v="Alex"/>
    <s v="Davis"/>
    <x v="0"/>
    <n v="23"/>
    <s v="20+"/>
    <x v="0"/>
    <s v="Follow-up"/>
    <x v="3"/>
    <s v="ECG"/>
    <x v="32"/>
    <x v="4"/>
    <n v="2898.31"/>
  </r>
  <r>
    <s v="P010"/>
    <x v="1"/>
    <d v="2001-10-13T00:00:00"/>
    <n v="24.058333333333334"/>
    <x v="0"/>
    <s v="Jane"/>
    <s v="Smith"/>
    <x v="0"/>
    <n v="19"/>
    <s v="11-20"/>
    <x v="1"/>
    <s v="Checkup"/>
    <x v="1"/>
    <s v="ECG"/>
    <x v="90"/>
    <x v="0"/>
    <n v="1959.5"/>
  </r>
  <r>
    <s v="P037"/>
    <x v="1"/>
    <d v="1999-02-05T00:00:00"/>
    <n v="26.747222222222224"/>
    <x v="3"/>
    <s v="Sarah"/>
    <s v="Taylor"/>
    <x v="2"/>
    <n v="4"/>
    <s v="0-10"/>
    <x v="0"/>
    <s v="Therapy"/>
    <x v="0"/>
    <s v="X-Ray"/>
    <x v="25"/>
    <x v="11"/>
    <n v="1998.51"/>
  </r>
  <r>
    <s v="P009"/>
    <x v="1"/>
    <d v="1971-12-11T00:00:00"/>
    <n v="53.897222222222226"/>
    <x v="2"/>
    <s v="Robert"/>
    <s v="Davis"/>
    <x v="1"/>
    <n v="4"/>
    <s v="0-10"/>
    <x v="2"/>
    <s v="Follow-up"/>
    <x v="3"/>
    <s v="Chemotherapy"/>
    <x v="36"/>
    <x v="4"/>
    <n v="3512.69"/>
  </r>
  <r>
    <s v="P024"/>
    <x v="0"/>
    <d v="1991-11-04T00:00:00"/>
    <n v="34"/>
    <x v="0"/>
    <s v="Sarah"/>
    <s v="Taylor"/>
    <x v="2"/>
    <n v="4"/>
    <s v="0-10"/>
    <x v="0"/>
    <s v="Emergency"/>
    <x v="2"/>
    <s v="X-Ray"/>
    <x v="91"/>
    <x v="4"/>
    <n v="4973.63"/>
  </r>
  <r>
    <s v="P035"/>
    <x v="0"/>
    <d v="1993-04-13T00:00:00"/>
    <n v="32.55833333333333"/>
    <x v="1"/>
    <s v="Sarah"/>
    <s v="Taylor"/>
    <x v="2"/>
    <n v="4"/>
    <s v="0-10"/>
    <x v="0"/>
    <s v="Follow-up"/>
    <x v="0"/>
    <s v="Chemotherapy"/>
    <x v="92"/>
    <x v="3"/>
    <n v="3478.28"/>
  </r>
  <r>
    <s v="P049"/>
    <x v="1"/>
    <d v="1972-11-26T00:00:00"/>
    <n v="52.93888888888889"/>
    <x v="1"/>
    <s v="Sarah"/>
    <s v="Taylor"/>
    <x v="2"/>
    <n v="4"/>
    <s v="0-10"/>
    <x v="0"/>
    <s v="Consultation"/>
    <x v="0"/>
    <s v="Chemotherapy"/>
    <x v="93"/>
    <x v="3"/>
    <n v="3010.03"/>
  </r>
  <r>
    <s v="P035"/>
    <x v="0"/>
    <d v="1993-04-13T00:00:00"/>
    <n v="32.55833333333333"/>
    <x v="1"/>
    <s v="Linda"/>
    <s v="Wilson"/>
    <x v="1"/>
    <n v="2"/>
    <s v="0-10"/>
    <x v="1"/>
    <s v="Follow-up"/>
    <x v="0"/>
    <s v="MRI"/>
    <x v="94"/>
    <x v="5"/>
    <n v="3787.93"/>
  </r>
  <r>
    <s v="P048"/>
    <x v="1"/>
    <d v="1983-03-24T00:00:00"/>
    <n v="42.611111111111114"/>
    <x v="2"/>
    <s v="Linda"/>
    <s v="Wilson"/>
    <x v="1"/>
    <n v="2"/>
    <s v="0-10"/>
    <x v="1"/>
    <s v="Follow-up"/>
    <x v="1"/>
    <s v="MRI"/>
    <x v="95"/>
    <x v="7"/>
    <n v="2593.4299999999998"/>
  </r>
  <r>
    <s v="P036"/>
    <x v="1"/>
    <d v="1997-12-26T00:00:00"/>
    <n v="27.855555555555554"/>
    <x v="1"/>
    <s v="Jane"/>
    <s v="Smith"/>
    <x v="0"/>
    <n v="19"/>
    <s v="11-20"/>
    <x v="1"/>
    <s v="Consultation"/>
    <x v="2"/>
    <s v="Chemotherapy"/>
    <x v="96"/>
    <x v="8"/>
    <n v="770.64"/>
  </r>
  <r>
    <s v="P018"/>
    <x v="1"/>
    <d v="1979-09-24T00:00:00"/>
    <n v="46.111111111111114"/>
    <x v="2"/>
    <s v="David"/>
    <s v="Taylor"/>
    <x v="2"/>
    <n v="17"/>
    <s v="11-20"/>
    <x v="2"/>
    <s v="Therapy"/>
    <x v="3"/>
    <s v="Chemotherapy"/>
    <x v="97"/>
    <x v="0"/>
    <n v="3030.34"/>
  </r>
  <r>
    <s v="P049"/>
    <x v="1"/>
    <d v="1972-11-26T00:00:00"/>
    <n v="52.93888888888889"/>
    <x v="1"/>
    <s v="Sarah"/>
    <s v="Taylor"/>
    <x v="2"/>
    <n v="4"/>
    <s v="0-10"/>
    <x v="0"/>
    <s v="Therapy"/>
    <x v="1"/>
    <s v="X-Ray"/>
    <x v="88"/>
    <x v="11"/>
    <n v="4809.3100000000004"/>
  </r>
  <r>
    <s v="P039"/>
    <x v="0"/>
    <d v="1950-12-12T00:00:00"/>
    <n v="74.894444444444446"/>
    <x v="2"/>
    <s v="Sarah"/>
    <s v="Smith"/>
    <x v="0"/>
    <n v="4"/>
    <s v="0-10"/>
    <x v="0"/>
    <s v="Follow-up"/>
    <x v="1"/>
    <s v="X-Ray"/>
    <x v="83"/>
    <x v="3"/>
    <n v="1288.8599999999999"/>
  </r>
  <r>
    <s v="P032"/>
    <x v="1"/>
    <d v="1981-01-08T00:00:00"/>
    <n v="44.822222222222223"/>
    <x v="1"/>
    <s v="David"/>
    <s v="Taylor"/>
    <x v="2"/>
    <n v="17"/>
    <s v="11-20"/>
    <x v="2"/>
    <s v="Consultation"/>
    <x v="1"/>
    <s v="MRI"/>
    <x v="98"/>
    <x v="1"/>
    <n v="3605.02"/>
  </r>
  <r>
    <s v="P024"/>
    <x v="0"/>
    <d v="1991-11-04T00:00:00"/>
    <n v="34"/>
    <x v="0"/>
    <s v="Jane"/>
    <s v="Smith"/>
    <x v="0"/>
    <n v="19"/>
    <s v="11-20"/>
    <x v="1"/>
    <s v="Consultation"/>
    <x v="0"/>
    <s v="ECG"/>
    <x v="0"/>
    <x v="0"/>
    <n v="1404.2"/>
  </r>
  <r>
    <s v="P023"/>
    <x v="1"/>
    <d v="1994-02-22T00:00:00"/>
    <n v="31.7"/>
    <x v="0"/>
    <s v="David"/>
    <s v="Jones"/>
    <x v="0"/>
    <n v="28"/>
    <s v="20+"/>
    <x v="0"/>
    <s v="Emergency"/>
    <x v="2"/>
    <s v="Chemotherapy"/>
    <x v="99"/>
    <x v="10"/>
    <n v="2911.22"/>
  </r>
  <r>
    <s v="P032"/>
    <x v="1"/>
    <d v="1981-01-08T00:00:00"/>
    <n v="44.822222222222223"/>
    <x v="1"/>
    <s v="David"/>
    <s v="Taylor"/>
    <x v="2"/>
    <n v="17"/>
    <s v="11-20"/>
    <x v="2"/>
    <s v="Therapy"/>
    <x v="1"/>
    <s v="X-Ray"/>
    <x v="100"/>
    <x v="10"/>
    <n v="935.04"/>
  </r>
  <r>
    <s v="P037"/>
    <x v="1"/>
    <d v="1999-02-05T00:00:00"/>
    <n v="26.747222222222224"/>
    <x v="3"/>
    <s v="David"/>
    <s v="Taylor"/>
    <x v="2"/>
    <n v="17"/>
    <s v="11-20"/>
    <x v="2"/>
    <s v="Checkup"/>
    <x v="3"/>
    <s v="MRI"/>
    <x v="101"/>
    <x v="4"/>
    <n v="2526.67"/>
  </r>
  <r>
    <s v="P012"/>
    <x v="0"/>
    <d v="1991-12-08T00:00:00"/>
    <n v="33.905555555555559"/>
    <x v="1"/>
    <s v="Linda"/>
    <s v="Brown"/>
    <x v="2"/>
    <n v="5"/>
    <s v="0-10"/>
    <x v="2"/>
    <s v="Therapy"/>
    <x v="2"/>
    <s v="X-Ray"/>
    <x v="16"/>
    <x v="3"/>
    <n v="3902.73"/>
  </r>
  <r>
    <s v="P049"/>
    <x v="1"/>
    <d v="1972-11-26T00:00:00"/>
    <n v="52.93888888888889"/>
    <x v="1"/>
    <s v="Jane"/>
    <s v="Davis"/>
    <x v="0"/>
    <n v="24"/>
    <s v="20+"/>
    <x v="1"/>
    <s v="Therapy"/>
    <x v="3"/>
    <s v="Chemotherapy"/>
    <x v="102"/>
    <x v="9"/>
    <n v="2064.0700000000002"/>
  </r>
  <r>
    <s v="P013"/>
    <x v="0"/>
    <d v="1990-03-28T00:00:00"/>
    <n v="35.6"/>
    <x v="0"/>
    <s v="Linda"/>
    <s v="Brown"/>
    <x v="2"/>
    <n v="5"/>
    <s v="0-10"/>
    <x v="2"/>
    <s v="Emergency"/>
    <x v="2"/>
    <s v="Chemotherapy"/>
    <x v="103"/>
    <x v="6"/>
    <n v="3492.1"/>
  </r>
  <r>
    <s v="P023"/>
    <x v="1"/>
    <d v="1994-02-22T00:00:00"/>
    <n v="31.7"/>
    <x v="0"/>
    <s v="Robert"/>
    <s v="Davis"/>
    <x v="1"/>
    <n v="4"/>
    <s v="0-10"/>
    <x v="2"/>
    <s v="Checkup"/>
    <x v="3"/>
    <s v="Physiotherapy"/>
    <x v="76"/>
    <x v="9"/>
    <n v="4079.52"/>
  </r>
  <r>
    <s v="P025"/>
    <x v="1"/>
    <d v="1966-08-14T00:00:00"/>
    <n v="59.222222222222221"/>
    <x v="3"/>
    <s v="Linda"/>
    <s v="Wilson"/>
    <x v="1"/>
    <n v="2"/>
    <s v="0-10"/>
    <x v="1"/>
    <s v="Emergency"/>
    <x v="0"/>
    <s v="ECG"/>
    <x v="104"/>
    <x v="8"/>
    <n v="4672.3"/>
  </r>
  <r>
    <s v="P035"/>
    <x v="0"/>
    <d v="1993-04-13T00:00:00"/>
    <n v="32.55833333333333"/>
    <x v="1"/>
    <s v="Linda"/>
    <s v="Wilson"/>
    <x v="1"/>
    <n v="2"/>
    <s v="0-10"/>
    <x v="1"/>
    <s v="Checkup"/>
    <x v="1"/>
    <s v="Physiotherapy"/>
    <x v="105"/>
    <x v="8"/>
    <n v="1555.89"/>
  </r>
  <r>
    <s v="P041"/>
    <x v="1"/>
    <d v="1951-06-19T00:00:00"/>
    <n v="74.375"/>
    <x v="0"/>
    <s v="Jane"/>
    <s v="Davis"/>
    <x v="0"/>
    <n v="24"/>
    <s v="20+"/>
    <x v="1"/>
    <s v="Follow-up"/>
    <x v="3"/>
    <s v="MRI"/>
    <x v="53"/>
    <x v="4"/>
    <n v="2296.92"/>
  </r>
  <r>
    <s v="P030"/>
    <x v="1"/>
    <d v="1964-12-23T00:00:00"/>
    <n v="60.863888888888887"/>
    <x v="2"/>
    <s v="Alex"/>
    <s v="Davis"/>
    <x v="0"/>
    <n v="23"/>
    <s v="20+"/>
    <x v="0"/>
    <s v="Checkup"/>
    <x v="2"/>
    <s v="X-Ray"/>
    <x v="106"/>
    <x v="0"/>
    <n v="1185.8699999999999"/>
  </r>
  <r>
    <s v="P017"/>
    <x v="1"/>
    <d v="1991-05-01T00:00:00"/>
    <n v="34.508333333333333"/>
    <x v="0"/>
    <s v="Alex"/>
    <s v="Davis"/>
    <x v="0"/>
    <n v="23"/>
    <s v="20+"/>
    <x v="0"/>
    <s v="Emergency"/>
    <x v="1"/>
    <s v="MRI"/>
    <x v="35"/>
    <x v="9"/>
    <n v="4966.18"/>
  </r>
  <r>
    <s v="P049"/>
    <x v="1"/>
    <d v="1972-11-26T00:00:00"/>
    <n v="52.93888888888889"/>
    <x v="1"/>
    <s v="Jane"/>
    <s v="Smith"/>
    <x v="0"/>
    <n v="19"/>
    <s v="11-20"/>
    <x v="1"/>
    <s v="Therapy"/>
    <x v="1"/>
    <s v="Chemotherapy"/>
    <x v="107"/>
    <x v="5"/>
    <n v="4671.5"/>
  </r>
  <r>
    <s v="P020"/>
    <x v="0"/>
    <d v="2003-06-06T00:00:00"/>
    <n v="22.411111111111111"/>
    <x v="1"/>
    <s v="Jane"/>
    <s v="Davis"/>
    <x v="0"/>
    <n v="24"/>
    <s v="20+"/>
    <x v="1"/>
    <s v="Checkup"/>
    <x v="2"/>
    <s v="Physiotherapy"/>
    <x v="108"/>
    <x v="3"/>
    <n v="2929.81"/>
  </r>
  <r>
    <s v="P048"/>
    <x v="1"/>
    <d v="1983-03-24T00:00:00"/>
    <n v="42.611111111111114"/>
    <x v="2"/>
    <s v="David"/>
    <s v="Taylor"/>
    <x v="2"/>
    <n v="17"/>
    <s v="11-20"/>
    <x v="2"/>
    <s v="Checkup"/>
    <x v="3"/>
    <s v="Physiotherapy"/>
    <x v="109"/>
    <x v="6"/>
    <n v="4289.1499999999996"/>
  </r>
  <r>
    <s v="P025"/>
    <x v="1"/>
    <d v="1966-08-14T00:00:00"/>
    <n v="59.222222222222221"/>
    <x v="3"/>
    <s v="Alex"/>
    <s v="Davis"/>
    <x v="0"/>
    <n v="23"/>
    <s v="20+"/>
    <x v="0"/>
    <s v="Consultation"/>
    <x v="0"/>
    <s v="Physiotherapy"/>
    <x v="110"/>
    <x v="11"/>
    <n v="2844.31"/>
  </r>
  <r>
    <s v="P022"/>
    <x v="1"/>
    <d v="1955-05-10T00:00:00"/>
    <n v="70.483333333333334"/>
    <x v="1"/>
    <s v="Sarah"/>
    <s v="Taylor"/>
    <x v="2"/>
    <n v="4"/>
    <s v="0-10"/>
    <x v="0"/>
    <s v="Therapy"/>
    <x v="0"/>
    <s v="MRI"/>
    <x v="111"/>
    <x v="2"/>
    <n v="3306.14"/>
  </r>
  <r>
    <s v="P013"/>
    <x v="0"/>
    <d v="1990-03-28T00:00:00"/>
    <n v="35.6"/>
    <x v="0"/>
    <s v="Sarah"/>
    <s v="Smith"/>
    <x v="0"/>
    <n v="4"/>
    <s v="0-10"/>
    <x v="0"/>
    <s v="Follow-up"/>
    <x v="3"/>
    <s v="Chemotherapy"/>
    <x v="112"/>
    <x v="5"/>
    <n v="901.06"/>
  </r>
  <r>
    <s v="P019"/>
    <x v="1"/>
    <d v="1975-05-24T00:00:00"/>
    <n v="50.444444444444443"/>
    <x v="0"/>
    <s v="David"/>
    <s v="Taylor"/>
    <x v="2"/>
    <n v="17"/>
    <s v="11-20"/>
    <x v="2"/>
    <s v="Emergency"/>
    <x v="1"/>
    <s v="X-Ray"/>
    <x v="88"/>
    <x v="11"/>
    <n v="3898.72"/>
  </r>
  <r>
    <s v="P049"/>
    <x v="1"/>
    <d v="1972-11-26T00:00:00"/>
    <n v="52.93888888888889"/>
    <x v="1"/>
    <s v="Robert"/>
    <s v="Davis"/>
    <x v="1"/>
    <n v="4"/>
    <s v="0-10"/>
    <x v="2"/>
    <s v="Follow-up"/>
    <x v="1"/>
    <s v="X-Ray"/>
    <x v="71"/>
    <x v="10"/>
    <n v="1074.71"/>
  </r>
  <r>
    <s v="P036"/>
    <x v="1"/>
    <d v="1997-12-26T00:00:00"/>
    <n v="27.855555555555554"/>
    <x v="1"/>
    <s v="Sarah"/>
    <s v="Taylor"/>
    <x v="2"/>
    <n v="4"/>
    <s v="0-10"/>
    <x v="0"/>
    <s v="Therapy"/>
    <x v="1"/>
    <s v="MRI"/>
    <x v="113"/>
    <x v="11"/>
    <n v="4217.3"/>
  </r>
  <r>
    <s v="P012"/>
    <x v="0"/>
    <d v="1991-12-08T00:00:00"/>
    <n v="33.905555555555559"/>
    <x v="1"/>
    <s v="Sarah"/>
    <s v="Taylor"/>
    <x v="2"/>
    <n v="4"/>
    <s v="0-10"/>
    <x v="0"/>
    <s v="Checkup"/>
    <x v="1"/>
    <s v="Physiotherapy"/>
    <x v="114"/>
    <x v="9"/>
    <n v="4019.13"/>
  </r>
  <r>
    <s v="P041"/>
    <x v="1"/>
    <d v="1951-06-19T00:00:00"/>
    <n v="74.375"/>
    <x v="0"/>
    <s v="Jane"/>
    <s v="Davis"/>
    <x v="0"/>
    <n v="24"/>
    <s v="20+"/>
    <x v="1"/>
    <s v="Checkup"/>
    <x v="3"/>
    <s v="ECG"/>
    <x v="115"/>
    <x v="1"/>
    <n v="3689.35"/>
  </r>
  <r>
    <s v="P019"/>
    <x v="1"/>
    <d v="1975-05-24T00:00:00"/>
    <n v="50.444444444444443"/>
    <x v="0"/>
    <s v="Jane"/>
    <s v="Smith"/>
    <x v="0"/>
    <n v="19"/>
    <s v="11-20"/>
    <x v="1"/>
    <s v="Therapy"/>
    <x v="1"/>
    <s v="MRI"/>
    <x v="116"/>
    <x v="8"/>
    <n v="662.72"/>
  </r>
  <r>
    <s v="P012"/>
    <x v="0"/>
    <d v="1991-12-08T00:00:00"/>
    <n v="33.905555555555559"/>
    <x v="1"/>
    <s v="Robert"/>
    <s v="Davis"/>
    <x v="1"/>
    <n v="4"/>
    <s v="0-10"/>
    <x v="2"/>
    <s v="Checkup"/>
    <x v="2"/>
    <s v="MRI"/>
    <x v="87"/>
    <x v="2"/>
    <n v="1864.08"/>
  </r>
  <r>
    <s v="P009"/>
    <x v="1"/>
    <d v="1971-12-11T00:00:00"/>
    <n v="53.897222222222226"/>
    <x v="2"/>
    <s v="Alex"/>
    <s v="Davis"/>
    <x v="0"/>
    <n v="23"/>
    <s v="20+"/>
    <x v="0"/>
    <s v="Checkup"/>
    <x v="1"/>
    <s v="Chemotherapy"/>
    <x v="12"/>
    <x v="0"/>
    <n v="1684.01"/>
  </r>
  <r>
    <s v="P007"/>
    <x v="0"/>
    <d v="1989-06-08T00:00:00"/>
    <n v="36.405555555555559"/>
    <x v="1"/>
    <s v="Jane"/>
    <s v="Davis"/>
    <x v="0"/>
    <n v="24"/>
    <s v="20+"/>
    <x v="1"/>
    <s v="Checkup"/>
    <x v="0"/>
    <s v="X-Ray"/>
    <x v="117"/>
    <x v="8"/>
    <n v="2120.61"/>
  </r>
  <r>
    <s v="P028"/>
    <x v="1"/>
    <d v="1993-04-13T00:00:00"/>
    <n v="32.55833333333333"/>
    <x v="1"/>
    <s v="Alex"/>
    <s v="Davis"/>
    <x v="0"/>
    <n v="23"/>
    <s v="20+"/>
    <x v="0"/>
    <s v="Emergency"/>
    <x v="1"/>
    <s v="MRI"/>
    <x v="118"/>
    <x v="7"/>
    <n v="894.39"/>
  </r>
  <r>
    <s v="P014"/>
    <x v="1"/>
    <d v="1968-02-27T00:00:00"/>
    <n v="57.68611111111111"/>
    <x v="1"/>
    <s v="Jane"/>
    <s v="Davis"/>
    <x v="0"/>
    <n v="24"/>
    <s v="20+"/>
    <x v="1"/>
    <s v="Emergency"/>
    <x v="3"/>
    <s v="MRI"/>
    <x v="105"/>
    <x v="8"/>
    <n v="4716.3100000000004"/>
  </r>
  <r>
    <s v="P031"/>
    <x v="1"/>
    <d v="1987-01-14T00:00:00"/>
    <n v="38.805555555555557"/>
    <x v="0"/>
    <s v="Jane"/>
    <s v="Davis"/>
    <x v="0"/>
    <n v="24"/>
    <s v="20+"/>
    <x v="1"/>
    <s v="Consultation"/>
    <x v="0"/>
    <s v="Physiotherapy"/>
    <x v="119"/>
    <x v="10"/>
    <n v="2992.11"/>
  </r>
  <r>
    <s v="P019"/>
    <x v="1"/>
    <d v="1975-05-24T00:00:00"/>
    <n v="50.444444444444443"/>
    <x v="0"/>
    <s v="Jane"/>
    <s v="Davis"/>
    <x v="0"/>
    <n v="24"/>
    <s v="20+"/>
    <x v="1"/>
    <s v="Follow-up"/>
    <x v="3"/>
    <s v="Physiotherapy"/>
    <x v="108"/>
    <x v="3"/>
    <n v="1874.86"/>
  </r>
  <r>
    <s v="P047"/>
    <x v="1"/>
    <d v="1995-12-13T00:00:00"/>
    <n v="29.891666666666666"/>
    <x v="0"/>
    <s v="Jane"/>
    <s v="Smith"/>
    <x v="0"/>
    <n v="19"/>
    <s v="11-20"/>
    <x v="1"/>
    <s v="Therapy"/>
    <x v="3"/>
    <s v="ECG"/>
    <x v="12"/>
    <x v="0"/>
    <n v="2286.42"/>
  </r>
  <r>
    <s v="P016"/>
    <x v="1"/>
    <d v="2000-07-22T00:00:00"/>
    <n v="25.283333333333335"/>
    <x v="2"/>
    <s v="Jane"/>
    <s v="Davis"/>
    <x v="0"/>
    <n v="24"/>
    <s v="20+"/>
    <x v="1"/>
    <s v="Therapy"/>
    <x v="0"/>
    <s v="Chemotherapy"/>
    <x v="120"/>
    <x v="7"/>
    <n v="2512.41"/>
  </r>
  <r>
    <s v="P005"/>
    <x v="1"/>
    <d v="1960-06-23T00:00:00"/>
    <n v="65.363888888888894"/>
    <x v="1"/>
    <s v="David"/>
    <s v="Jones"/>
    <x v="0"/>
    <n v="28"/>
    <s v="20+"/>
    <x v="0"/>
    <s v="Therapy"/>
    <x v="3"/>
    <s v="ECG"/>
    <x v="121"/>
    <x v="4"/>
    <n v="3202.67"/>
  </r>
  <r>
    <s v="P035"/>
    <x v="0"/>
    <d v="1993-04-13T00:00:00"/>
    <n v="32.55833333333333"/>
    <x v="1"/>
    <s v="Sarah"/>
    <s v="Smith"/>
    <x v="0"/>
    <n v="4"/>
    <s v="0-10"/>
    <x v="0"/>
    <s v="Consultation"/>
    <x v="3"/>
    <s v="Physiotherapy"/>
    <x v="122"/>
    <x v="3"/>
    <n v="2820.56"/>
  </r>
  <r>
    <s v="P012"/>
    <x v="0"/>
    <d v="1991-12-08T00:00:00"/>
    <n v="33.905555555555559"/>
    <x v="1"/>
    <s v="Alex"/>
    <s v="Davis"/>
    <x v="0"/>
    <n v="23"/>
    <s v="20+"/>
    <x v="0"/>
    <s v="Emergency"/>
    <x v="1"/>
    <s v="X-Ray"/>
    <x v="123"/>
    <x v="6"/>
    <n v="4637.26"/>
  </r>
  <r>
    <s v="P025"/>
    <x v="1"/>
    <d v="1966-08-14T00:00:00"/>
    <n v="59.222222222222221"/>
    <x v="3"/>
    <s v="David"/>
    <s v="Taylor"/>
    <x v="2"/>
    <n v="17"/>
    <s v="11-20"/>
    <x v="2"/>
    <s v="Consultation"/>
    <x v="2"/>
    <s v="Physiotherapy"/>
    <x v="124"/>
    <x v="7"/>
    <n v="2736.34"/>
  </r>
  <r>
    <s v="P021"/>
    <x v="1"/>
    <d v="2002-03-01T00:00:00"/>
    <n v="23.675000000000001"/>
    <x v="0"/>
    <s v="Linda"/>
    <s v="Brown"/>
    <x v="2"/>
    <n v="5"/>
    <s v="0-10"/>
    <x v="2"/>
    <s v="Therapy"/>
    <x v="3"/>
    <s v="Chemotherapy"/>
    <x v="55"/>
    <x v="8"/>
    <n v="4964.71"/>
  </r>
  <r>
    <s v="P036"/>
    <x v="1"/>
    <d v="1997-12-26T00:00:00"/>
    <n v="27.855555555555554"/>
    <x v="1"/>
    <s v="Robert"/>
    <s v="Davis"/>
    <x v="1"/>
    <n v="4"/>
    <s v="0-10"/>
    <x v="2"/>
    <s v="Follow-up"/>
    <x v="3"/>
    <s v="Physiotherapy"/>
    <x v="125"/>
    <x v="5"/>
    <n v="4331.41"/>
  </r>
  <r>
    <s v="P023"/>
    <x v="1"/>
    <d v="1994-02-22T00:00:00"/>
    <n v="31.7"/>
    <x v="0"/>
    <s v="Linda"/>
    <s v="Wilson"/>
    <x v="1"/>
    <n v="2"/>
    <s v="0-10"/>
    <x v="1"/>
    <s v="Checkup"/>
    <x v="3"/>
    <s v="Chemotherapy"/>
    <x v="48"/>
    <x v="3"/>
    <n v="1438.3"/>
  </r>
  <r>
    <s v="P016"/>
    <x v="1"/>
    <d v="2000-07-22T00:00:00"/>
    <n v="25.283333333333335"/>
    <x v="2"/>
    <s v="Jane"/>
    <s v="Smith"/>
    <x v="0"/>
    <n v="19"/>
    <s v="11-20"/>
    <x v="1"/>
    <s v="Emergency"/>
    <x v="1"/>
    <s v="Chemotherapy"/>
    <x v="82"/>
    <x v="4"/>
    <n v="4687.68"/>
  </r>
  <r>
    <s v="P039"/>
    <x v="0"/>
    <d v="1950-12-12T00:00:00"/>
    <n v="74.894444444444446"/>
    <x v="2"/>
    <s v="David"/>
    <s v="Taylor"/>
    <x v="2"/>
    <n v="17"/>
    <s v="11-20"/>
    <x v="2"/>
    <s v="Emergency"/>
    <x v="2"/>
    <s v="Chemotherapy"/>
    <x v="126"/>
    <x v="10"/>
    <n v="1023.65"/>
  </r>
  <r>
    <s v="P045"/>
    <x v="0"/>
    <d v="1966-04-25T00:00:00"/>
    <n v="59.524999999999999"/>
    <x v="1"/>
    <s v="Sarah"/>
    <s v="Taylor"/>
    <x v="2"/>
    <n v="4"/>
    <s v="0-10"/>
    <x v="0"/>
    <s v="Consultation"/>
    <x v="0"/>
    <s v="Chemotherapy"/>
    <x v="127"/>
    <x v="1"/>
    <n v="4178.5200000000004"/>
  </r>
  <r>
    <s v="P042"/>
    <x v="0"/>
    <d v="1954-08-22T00:00:00"/>
    <n v="71.2"/>
    <x v="1"/>
    <s v="David"/>
    <s v="Jones"/>
    <x v="0"/>
    <n v="28"/>
    <s v="20+"/>
    <x v="0"/>
    <s v="Emergency"/>
    <x v="1"/>
    <s v="Chemotherapy"/>
    <x v="38"/>
    <x v="7"/>
    <n v="2212.8000000000002"/>
  </r>
  <r>
    <s v="P039"/>
    <x v="0"/>
    <d v="1950-12-12T00:00:00"/>
    <n v="74.894444444444446"/>
    <x v="2"/>
    <s v="Linda"/>
    <s v="Wilson"/>
    <x v="1"/>
    <n v="2"/>
    <s v="0-10"/>
    <x v="1"/>
    <s v="Therapy"/>
    <x v="1"/>
    <s v="X-Ray"/>
    <x v="128"/>
    <x v="1"/>
    <n v="4450.88"/>
  </r>
  <r>
    <s v="P014"/>
    <x v="1"/>
    <d v="1968-02-27T00:00:00"/>
    <n v="57.68611111111111"/>
    <x v="1"/>
    <s v="Linda"/>
    <s v="Brown"/>
    <x v="2"/>
    <n v="5"/>
    <s v="0-10"/>
    <x v="2"/>
    <s v="Therapy"/>
    <x v="2"/>
    <s v="ECG"/>
    <x v="129"/>
    <x v="3"/>
    <n v="4406.26"/>
  </r>
  <r>
    <s v="P031"/>
    <x v="1"/>
    <d v="1987-01-14T00:00:00"/>
    <n v="38.805555555555557"/>
    <x v="0"/>
    <s v="David"/>
    <s v="Taylor"/>
    <x v="2"/>
    <n v="17"/>
    <s v="11-20"/>
    <x v="2"/>
    <s v="Consultation"/>
    <x v="2"/>
    <s v="MRI"/>
    <x v="28"/>
    <x v="4"/>
    <n v="4126.66"/>
  </r>
  <r>
    <s v="P005"/>
    <x v="1"/>
    <d v="1960-06-23T00:00:00"/>
    <n v="65.363888888888894"/>
    <x v="1"/>
    <s v="Linda"/>
    <s v="Wilson"/>
    <x v="1"/>
    <n v="2"/>
    <s v="0-10"/>
    <x v="1"/>
    <s v="Therapy"/>
    <x v="1"/>
    <s v="ECG"/>
    <x v="130"/>
    <x v="7"/>
    <n v="4055.14"/>
  </r>
  <r>
    <s v="P035"/>
    <x v="0"/>
    <d v="1993-04-13T00:00:00"/>
    <n v="32.55833333333333"/>
    <x v="1"/>
    <s v="David"/>
    <s v="Taylor"/>
    <x v="2"/>
    <n v="17"/>
    <s v="11-20"/>
    <x v="2"/>
    <s v="Follow-up"/>
    <x v="0"/>
    <s v="Chemotherapy"/>
    <x v="131"/>
    <x v="8"/>
    <n v="1871.06"/>
  </r>
  <r>
    <s v="P023"/>
    <x v="1"/>
    <d v="1994-02-22T00:00:00"/>
    <n v="31.7"/>
    <x v="0"/>
    <s v="David"/>
    <s v="Jones"/>
    <x v="0"/>
    <n v="28"/>
    <s v="20+"/>
    <x v="0"/>
    <s v="Consultation"/>
    <x v="1"/>
    <s v="X-Ray"/>
    <x v="132"/>
    <x v="2"/>
    <n v="864.14"/>
  </r>
  <r>
    <s v="P029"/>
    <x v="1"/>
    <d v="2005-05-15T00:00:00"/>
    <n v="20.469444444444445"/>
    <x v="3"/>
    <s v="Linda"/>
    <s v="Brown"/>
    <x v="2"/>
    <n v="5"/>
    <s v="0-10"/>
    <x v="2"/>
    <s v="Follow-up"/>
    <x v="2"/>
    <s v="Physiotherapy"/>
    <x v="133"/>
    <x v="3"/>
    <n v="2313.41"/>
  </r>
  <r>
    <s v="P043"/>
    <x v="1"/>
    <d v="1980-03-25T00:00:00"/>
    <n v="45.608333333333334"/>
    <x v="0"/>
    <s v="Sarah"/>
    <s v="Taylor"/>
    <x v="2"/>
    <n v="4"/>
    <s v="0-10"/>
    <x v="0"/>
    <s v="Checkup"/>
    <x v="0"/>
    <s v="X-Ray"/>
    <x v="134"/>
    <x v="6"/>
    <n v="1280.8599999999999"/>
  </r>
  <r>
    <s v="P011"/>
    <x v="0"/>
    <d v="1966-12-04T00:00:00"/>
    <n v="58.916666666666664"/>
    <x v="1"/>
    <s v="Jane"/>
    <s v="Davis"/>
    <x v="0"/>
    <n v="24"/>
    <s v="20+"/>
    <x v="1"/>
    <s v="Follow-up"/>
    <x v="2"/>
    <s v="Chemotherapy"/>
    <x v="32"/>
    <x v="4"/>
    <n v="3627.28"/>
  </r>
  <r>
    <s v="P018"/>
    <x v="1"/>
    <d v="1979-09-24T00:00:00"/>
    <n v="46.111111111111114"/>
    <x v="2"/>
    <s v="Alex"/>
    <s v="Davis"/>
    <x v="0"/>
    <n v="23"/>
    <s v="20+"/>
    <x v="0"/>
    <s v="Checkup"/>
    <x v="0"/>
    <s v="X-Ray"/>
    <x v="54"/>
    <x v="6"/>
    <n v="2057.4499999999998"/>
  </r>
  <r>
    <s v="P047"/>
    <x v="1"/>
    <d v="1995-12-13T00:00:00"/>
    <n v="29.891666666666666"/>
    <x v="0"/>
    <s v="Sarah"/>
    <s v="Taylor"/>
    <x v="2"/>
    <n v="4"/>
    <s v="0-10"/>
    <x v="0"/>
    <s v="Checkup"/>
    <x v="3"/>
    <s v="X-Ray"/>
    <x v="135"/>
    <x v="1"/>
    <n v="4890.25"/>
  </r>
  <r>
    <s v="P012"/>
    <x v="0"/>
    <d v="1991-12-08T00:00:00"/>
    <n v="33.905555555555559"/>
    <x v="1"/>
    <s v="Jane"/>
    <s v="Davis"/>
    <x v="0"/>
    <n v="24"/>
    <s v="20+"/>
    <x v="1"/>
    <s v="Follow-up"/>
    <x v="2"/>
    <s v="Chemotherapy"/>
    <x v="136"/>
    <x v="11"/>
    <n v="3384.37"/>
  </r>
  <r>
    <s v="P009"/>
    <x v="1"/>
    <d v="1971-12-11T00:00:00"/>
    <n v="53.897222222222226"/>
    <x v="2"/>
    <s v="Jane"/>
    <s v="Smith"/>
    <x v="0"/>
    <n v="19"/>
    <s v="11-20"/>
    <x v="1"/>
    <s v="Consultation"/>
    <x v="2"/>
    <s v="X-Ray"/>
    <x v="137"/>
    <x v="11"/>
    <n v="4201.16"/>
  </r>
  <r>
    <s v="P010"/>
    <x v="1"/>
    <d v="2001-10-13T00:00:00"/>
    <n v="24.058333333333334"/>
    <x v="0"/>
    <s v="Sarah"/>
    <s v="Smith"/>
    <x v="0"/>
    <n v="4"/>
    <s v="0-10"/>
    <x v="0"/>
    <s v="Therapy"/>
    <x v="1"/>
    <s v="MRI"/>
    <x v="138"/>
    <x v="4"/>
    <n v="1096.3599999999999"/>
  </r>
  <r>
    <s v="P044"/>
    <x v="0"/>
    <d v="1976-03-11T00:00:00"/>
    <n v="49.647222222222226"/>
    <x v="2"/>
    <s v="Robert"/>
    <s v="Davis"/>
    <x v="1"/>
    <n v="4"/>
    <s v="0-10"/>
    <x v="2"/>
    <s v="Therapy"/>
    <x v="2"/>
    <s v="MRI"/>
    <x v="12"/>
    <x v="0"/>
    <n v="4379.07"/>
  </r>
  <r>
    <s v="P017"/>
    <x v="1"/>
    <d v="1991-05-01T00:00:00"/>
    <n v="34.508333333333333"/>
    <x v="0"/>
    <s v="Robert"/>
    <s v="Davis"/>
    <x v="1"/>
    <n v="4"/>
    <s v="0-10"/>
    <x v="2"/>
    <s v="Checkup"/>
    <x v="2"/>
    <s v="X-Ray"/>
    <x v="139"/>
    <x v="7"/>
    <n v="4652.41"/>
  </r>
  <r>
    <s v="P038"/>
    <x v="1"/>
    <d v="1991-06-25T00:00:00"/>
    <n v="34.358333333333334"/>
    <x v="1"/>
    <s v="Alex"/>
    <s v="Davis"/>
    <x v="0"/>
    <n v="23"/>
    <s v="20+"/>
    <x v="0"/>
    <s v="Checkup"/>
    <x v="3"/>
    <s v="Physiotherapy"/>
    <x v="140"/>
    <x v="6"/>
    <n v="2691.78"/>
  </r>
  <r>
    <s v="P007"/>
    <x v="0"/>
    <d v="1989-06-08T00:00:00"/>
    <n v="36.405555555555559"/>
    <x v="1"/>
    <s v="Linda"/>
    <s v="Brown"/>
    <x v="2"/>
    <n v="5"/>
    <s v="0-10"/>
    <x v="2"/>
    <s v="Consultation"/>
    <x v="2"/>
    <s v="Chemotherapy"/>
    <x v="141"/>
    <x v="7"/>
    <n v="3228.14"/>
  </r>
  <r>
    <s v="P046"/>
    <x v="0"/>
    <d v="1986-09-01T00:00:00"/>
    <n v="39.174999999999997"/>
    <x v="1"/>
    <s v="David"/>
    <s v="Jones"/>
    <x v="0"/>
    <n v="28"/>
    <s v="20+"/>
    <x v="0"/>
    <s v="Emergency"/>
    <x v="3"/>
    <s v="MRI"/>
    <x v="142"/>
    <x v="2"/>
    <n v="3941.64"/>
  </r>
  <r>
    <s v="P013"/>
    <x v="0"/>
    <d v="1990-03-28T00:00:00"/>
    <n v="35.6"/>
    <x v="0"/>
    <s v="Linda"/>
    <s v="Brown"/>
    <x v="2"/>
    <n v="5"/>
    <s v="0-10"/>
    <x v="2"/>
    <s v="Follow-up"/>
    <x v="3"/>
    <s v="Physiotherapy"/>
    <x v="143"/>
    <x v="4"/>
    <n v="1286.77"/>
  </r>
  <r>
    <s v="P040"/>
    <x v="1"/>
    <d v="1972-05-30T00:00:00"/>
    <n v="53.427777777777777"/>
    <x v="2"/>
    <s v="David"/>
    <s v="Jones"/>
    <x v="0"/>
    <n v="28"/>
    <s v="20+"/>
    <x v="0"/>
    <s v="Checkup"/>
    <x v="3"/>
    <s v="X-Ray"/>
    <x v="144"/>
    <x v="9"/>
    <n v="2761.55"/>
  </r>
  <r>
    <s v="P042"/>
    <x v="0"/>
    <d v="1954-08-22T00:00:00"/>
    <n v="71.2"/>
    <x v="1"/>
    <s v="Linda"/>
    <s v="Brown"/>
    <x v="2"/>
    <n v="5"/>
    <s v="0-10"/>
    <x v="2"/>
    <s v="Therapy"/>
    <x v="3"/>
    <s v="Physiotherapy"/>
    <x v="145"/>
    <x v="9"/>
    <n v="2293.98"/>
  </r>
  <r>
    <s v="P009"/>
    <x v="1"/>
    <d v="1971-12-11T00:00:00"/>
    <n v="53.897222222222226"/>
    <x v="2"/>
    <s v="Sarah"/>
    <s v="Smith"/>
    <x v="0"/>
    <n v="4"/>
    <s v="0-10"/>
    <x v="0"/>
    <s v="Consultation"/>
    <x v="0"/>
    <s v="ECG"/>
    <x v="39"/>
    <x v="6"/>
    <n v="1158.68"/>
  </r>
  <r>
    <s v="P050"/>
    <x v="1"/>
    <d v="1993-12-27T00:00:00"/>
    <n v="31.852777777777778"/>
    <x v="0"/>
    <s v="Jane"/>
    <s v="Smith"/>
    <x v="0"/>
    <n v="19"/>
    <s v="11-20"/>
    <x v="1"/>
    <s v="Follow-up"/>
    <x v="1"/>
    <s v="MRI"/>
    <x v="37"/>
    <x v="6"/>
    <n v="2153.9"/>
  </r>
  <r>
    <s v="P027"/>
    <x v="0"/>
    <d v="1998-06-29T00:00:00"/>
    <n v="27.347222222222221"/>
    <x v="3"/>
    <s v="Jane"/>
    <s v="Smith"/>
    <x v="0"/>
    <n v="19"/>
    <s v="11-20"/>
    <x v="1"/>
    <s v="Consultation"/>
    <x v="0"/>
    <s v="X-Ray"/>
    <x v="146"/>
    <x v="9"/>
    <n v="806.78"/>
  </r>
  <r>
    <s v="P002"/>
    <x v="0"/>
    <d v="1984-10-12T00:00:00"/>
    <n v="41.06111111111111"/>
    <x v="2"/>
    <s v="Jane"/>
    <s v="Davis"/>
    <x v="0"/>
    <n v="24"/>
    <s v="20+"/>
    <x v="1"/>
    <s v="Follow-up"/>
    <x v="2"/>
    <s v="Chemotherapy"/>
    <x v="143"/>
    <x v="4"/>
    <n v="616.15"/>
  </r>
  <r>
    <s v="P005"/>
    <x v="1"/>
    <d v="1960-06-23T00:00:00"/>
    <n v="65.363888888888894"/>
    <x v="1"/>
    <s v="Linda"/>
    <s v="Wilson"/>
    <x v="1"/>
    <n v="2"/>
    <s v="0-10"/>
    <x v="1"/>
    <s v="Follow-up"/>
    <x v="0"/>
    <s v="X-Ray"/>
    <x v="147"/>
    <x v="11"/>
    <n v="1108.25"/>
  </r>
  <r>
    <s v="P029"/>
    <x v="1"/>
    <d v="2005-05-15T00:00:00"/>
    <n v="20.469444444444445"/>
    <x v="3"/>
    <s v="Jane"/>
    <s v="Smith"/>
    <x v="0"/>
    <n v="19"/>
    <s v="11-20"/>
    <x v="1"/>
    <s v="Checkup"/>
    <x v="0"/>
    <s v="Chemotherapy"/>
    <x v="148"/>
    <x v="8"/>
    <n v="4834.0200000000004"/>
  </r>
  <r>
    <s v="P037"/>
    <x v="1"/>
    <d v="1999-02-05T00:00:00"/>
    <n v="26.747222222222224"/>
    <x v="3"/>
    <s v="Jane"/>
    <s v="Smith"/>
    <x v="0"/>
    <n v="19"/>
    <s v="11-20"/>
    <x v="1"/>
    <s v="Consultation"/>
    <x v="2"/>
    <s v="X-Ray"/>
    <x v="143"/>
    <x v="4"/>
    <n v="2972.88"/>
  </r>
  <r>
    <s v="P038"/>
    <x v="1"/>
    <d v="1991-06-25T00:00:00"/>
    <n v="34.358333333333334"/>
    <x v="1"/>
    <s v="Sarah"/>
    <s v="Taylor"/>
    <x v="2"/>
    <n v="4"/>
    <s v="0-10"/>
    <x v="0"/>
    <s v="Consultation"/>
    <x v="2"/>
    <s v="Physiotherapy"/>
    <x v="149"/>
    <x v="0"/>
    <n v="4846.2"/>
  </r>
  <r>
    <s v="P019"/>
    <x v="1"/>
    <d v="1975-05-24T00:00:00"/>
    <n v="50.444444444444443"/>
    <x v="0"/>
    <s v="Sarah"/>
    <s v="Taylor"/>
    <x v="2"/>
    <n v="4"/>
    <s v="0-10"/>
    <x v="0"/>
    <s v="Therapy"/>
    <x v="2"/>
    <s v="Physiotherapy"/>
    <x v="150"/>
    <x v="2"/>
    <n v="2446.2399999999998"/>
  </r>
  <r>
    <s v="P008"/>
    <x v="0"/>
    <d v="1976-07-05T00:00:00"/>
    <n v="49.330555555555556"/>
    <x v="0"/>
    <s v="Jane"/>
    <s v="Davis"/>
    <x v="0"/>
    <n v="24"/>
    <s v="20+"/>
    <x v="1"/>
    <s v="Therapy"/>
    <x v="0"/>
    <s v="Physiotherapy"/>
    <x v="151"/>
    <x v="4"/>
    <n v="1903.17"/>
  </r>
  <r>
    <s v="P048"/>
    <x v="1"/>
    <d v="1983-03-24T00:00:00"/>
    <n v="42.611111111111114"/>
    <x v="2"/>
    <s v="Linda"/>
    <s v="Wilson"/>
    <x v="1"/>
    <n v="2"/>
    <s v="0-10"/>
    <x v="1"/>
    <s v="Checkup"/>
    <x v="0"/>
    <s v="ECG"/>
    <x v="152"/>
    <x v="0"/>
    <n v="2777.64"/>
  </r>
  <r>
    <s v="P045"/>
    <x v="0"/>
    <d v="1966-04-25T00:00:00"/>
    <n v="59.524999999999999"/>
    <x v="1"/>
    <s v="Alex"/>
    <s v="Davis"/>
    <x v="0"/>
    <n v="23"/>
    <s v="20+"/>
    <x v="0"/>
    <s v="Checkup"/>
    <x v="2"/>
    <s v="Chemotherapy"/>
    <x v="153"/>
    <x v="11"/>
    <n v="2477.8000000000002"/>
  </r>
  <r>
    <s v="P001"/>
    <x v="0"/>
    <d v="1955-06-04T00:00:00"/>
    <n v="70.416666666666671"/>
    <x v="0"/>
    <s v="Sarah"/>
    <s v="Taylor"/>
    <x v="2"/>
    <n v="4"/>
    <s v="0-10"/>
    <x v="0"/>
    <s v="Emergency"/>
    <x v="1"/>
    <s v="Physiotherapy"/>
    <x v="154"/>
    <x v="4"/>
    <n v="975.49"/>
  </r>
  <r>
    <s v="P022"/>
    <x v="1"/>
    <d v="1955-05-10T00:00:00"/>
    <n v="70.483333333333334"/>
    <x v="1"/>
    <s v="Alex"/>
    <s v="Davis"/>
    <x v="0"/>
    <n v="23"/>
    <s v="20+"/>
    <x v="0"/>
    <s v="Therapy"/>
    <x v="1"/>
    <s v="ECG"/>
    <x v="155"/>
    <x v="5"/>
    <n v="3383.72"/>
  </r>
  <r>
    <s v="P017"/>
    <x v="1"/>
    <d v="1991-05-01T00:00:00"/>
    <n v="34.508333333333333"/>
    <x v="0"/>
    <s v="David"/>
    <s v="Taylor"/>
    <x v="2"/>
    <n v="17"/>
    <s v="11-20"/>
    <x v="2"/>
    <s v="Follow-up"/>
    <x v="3"/>
    <s v="Chemotherapy"/>
    <x v="156"/>
    <x v="5"/>
    <n v="1472.17"/>
  </r>
  <r>
    <s v="P007"/>
    <x v="0"/>
    <d v="1989-06-08T00:00:00"/>
    <n v="36.405555555555559"/>
    <x v="1"/>
    <s v="Sarah"/>
    <s v="Taylor"/>
    <x v="2"/>
    <n v="4"/>
    <s v="0-10"/>
    <x v="0"/>
    <s v="Consultation"/>
    <x v="2"/>
    <s v="X-Ray"/>
    <x v="157"/>
    <x v="10"/>
    <n v="3288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163B6-C5AB-490E-8F23-730307D80D5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M4:AN9" firstHeaderRow="1" firstDataRow="1" firstDataCol="1"/>
  <pivotFields count="17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1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numFmtId="1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9B76A-F0BB-4493-B16B-E77A262D23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I4:AJ8" firstHeaderRow="1" firstDataRow="1" firstDataCol="1"/>
  <pivotFields count="17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numFmtId="1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D364E-23E1-47B2-A5D5-12595B928B26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">
  <location ref="AS3:AT16" firstHeaderRow="1" firstDataRow="1" firstDataCol="1"/>
  <pivotFields count="17">
    <pivotField compact="0" outline="0" showAll="0"/>
    <pivotField compact="0" outline="0" showAll="0">
      <items count="3">
        <item x="0"/>
        <item x="1"/>
        <item t="default"/>
      </items>
    </pivotField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numFmtId="14" outline="0" showAll="0">
      <items count="159">
        <item x="38"/>
        <item x="52"/>
        <item x="124"/>
        <item x="118"/>
        <item x="73"/>
        <item x="141"/>
        <item x="33"/>
        <item x="95"/>
        <item x="130"/>
        <item x="9"/>
        <item x="14"/>
        <item x="45"/>
        <item x="139"/>
        <item x="74"/>
        <item x="89"/>
        <item x="63"/>
        <item x="120"/>
        <item x="81"/>
        <item x="144"/>
        <item x="47"/>
        <item x="114"/>
        <item x="18"/>
        <item x="49"/>
        <item x="146"/>
        <item x="78"/>
        <item x="76"/>
        <item x="35"/>
        <item x="23"/>
        <item x="145"/>
        <item x="102"/>
        <item x="86"/>
        <item x="134"/>
        <item x="8"/>
        <item x="123"/>
        <item x="140"/>
        <item x="54"/>
        <item x="61"/>
        <item x="103"/>
        <item x="24"/>
        <item x="39"/>
        <item x="109"/>
        <item x="37"/>
        <item x="34"/>
        <item x="40"/>
        <item x="154"/>
        <item x="28"/>
        <item x="151"/>
        <item x="101"/>
        <item x="82"/>
        <item x="6"/>
        <item x="143"/>
        <item x="121"/>
        <item x="53"/>
        <item x="36"/>
        <item x="32"/>
        <item x="91"/>
        <item x="20"/>
        <item x="138"/>
        <item x="46"/>
        <item x="156"/>
        <item x="44"/>
        <item x="84"/>
        <item x="11"/>
        <item x="67"/>
        <item x="21"/>
        <item x="59"/>
        <item x="107"/>
        <item x="125"/>
        <item x="112"/>
        <item x="155"/>
        <item x="94"/>
        <item x="7"/>
        <item x="13"/>
        <item x="58"/>
        <item x="79"/>
        <item x="135"/>
        <item x="1"/>
        <item x="80"/>
        <item x="64"/>
        <item x="31"/>
        <item x="56"/>
        <item x="115"/>
        <item x="127"/>
        <item x="5"/>
        <item x="98"/>
        <item x="22"/>
        <item x="26"/>
        <item x="72"/>
        <item x="128"/>
        <item x="2"/>
        <item x="57"/>
        <item x="15"/>
        <item x="85"/>
        <item x="4"/>
        <item x="83"/>
        <item x="122"/>
        <item x="16"/>
        <item x="48"/>
        <item x="93"/>
        <item x="66"/>
        <item x="133"/>
        <item x="108"/>
        <item x="129"/>
        <item x="92"/>
        <item x="97"/>
        <item x="0"/>
        <item x="60"/>
        <item x="90"/>
        <item x="12"/>
        <item x="152"/>
        <item x="106"/>
        <item x="62"/>
        <item x="27"/>
        <item x="149"/>
        <item x="3"/>
        <item x="142"/>
        <item x="111"/>
        <item x="150"/>
        <item x="70"/>
        <item x="41"/>
        <item x="87"/>
        <item x="30"/>
        <item x="42"/>
        <item x="132"/>
        <item x="147"/>
        <item x="51"/>
        <item x="113"/>
        <item x="110"/>
        <item x="77"/>
        <item x="137"/>
        <item x="88"/>
        <item x="153"/>
        <item x="25"/>
        <item x="136"/>
        <item x="116"/>
        <item x="104"/>
        <item x="29"/>
        <item x="75"/>
        <item x="117"/>
        <item x="10"/>
        <item x="105"/>
        <item x="17"/>
        <item x="131"/>
        <item x="148"/>
        <item x="55"/>
        <item x="96"/>
        <item x="68"/>
        <item x="19"/>
        <item x="119"/>
        <item x="100"/>
        <item x="69"/>
        <item x="50"/>
        <item x="126"/>
        <item x="99"/>
        <item x="43"/>
        <item x="65"/>
        <item x="71"/>
        <item x="157"/>
        <item t="default"/>
      </items>
    </pivotField>
    <pivotField axis="axisRow" compact="0" numFmtId="1" outline="0" showAll="0">
      <items count="13">
        <item x="7"/>
        <item x="9"/>
        <item x="6"/>
        <item x="4"/>
        <item x="5"/>
        <item x="1"/>
        <item x="3"/>
        <item x="0"/>
        <item x="2"/>
        <item x="11"/>
        <item x="8"/>
        <item x="10"/>
        <item t="default"/>
      </items>
    </pivotField>
    <pivotField dataField="1" compact="0" numFmtId="1" outline="0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st" fld="16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ppointment_status" xr10:uid="{A611F0A9-7156-4CB7-B536-80133B5D7745}" sourceName="appointment_status">
  <pivotTables>
    <pivotTable tabId="2" name="PivotTable1"/>
    <pivotTable tabId="2" name="PivotTable3"/>
    <pivotTable tabId="2" name="PivotTable2"/>
  </pivotTables>
  <data>
    <tabular pivotCacheId="1189270049">
      <items count="4">
        <i x="2" s="1"/>
        <i x="3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9DC9312-34B8-455C-B6FD-0000988D5CC5}" sourceName="gender">
  <pivotTables>
    <pivotTable tabId="2" name="PivotTable2"/>
    <pivotTable tabId="2" name="PivotTable1"/>
    <pivotTable tabId="2" name="PivotTable3"/>
  </pivotTables>
  <data>
    <tabular pivotCacheId="1189270049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hospital_branch" xr10:uid="{7A6F93EF-3752-414C-AFDB-9D094A587D44}" sourceName="hospital_branch">
  <pivotTables>
    <pivotTable tabId="2" name="PivotTable2"/>
    <pivotTable tabId="2" name="PivotTable3"/>
    <pivotTable tabId="2" name="PivotTable1"/>
  </pivotTables>
  <data>
    <tabular pivotCacheId="1189270049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ppointment_status" xr10:uid="{1F96001D-EC20-49AE-BF79-7A754FF2DEBC}" cache="Slicer_appointment_status" caption="TREATMENT STATUS" startItem="2" columnCount="2" rowHeight="457200"/>
  <slicer name="gender" xr10:uid="{AEEDA30B-018F-4A99-870F-37454E77E6E5}" cache="Slicer_gender" caption="GENDER" columnCount="2" rowHeight="1009650"/>
  <slicer name="hospital_branch" xr10:uid="{238B0E2D-76DB-44FC-899B-CD9E4C7306FC}" cache="Slicer_hospital_branch" caption="HOSPITAL BRANCH" rowHeight="276225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reatment_date" xr10:uid="{AB7F8141-0ACB-45CE-8426-F7BC447D813E}" sourceName="treatment_date">
  <pivotTables>
    <pivotTable tabId="2" name="PivotTable1"/>
  </pivotTables>
  <state minimalRefreshVersion="6" lastRefreshVersion="6" pivotCacheId="1189270049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reatment_date" xr10:uid="{A1A4EFFF-B020-4788-82C4-53C4AB4E3911}" cache="NativeTimeline_treatment_date" caption="treatment_date" level="2" selectionLevel="2" scrollPosition="2023-01-27T00:00:00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05E8-C0CF-4DDE-AC72-A8338F6F249D}">
  <dimension ref="A1:Q201"/>
  <sheetViews>
    <sheetView workbookViewId="0">
      <selection activeCell="E27" sqref="E27"/>
    </sheetView>
  </sheetViews>
  <sheetFormatPr defaultRowHeight="15" x14ac:dyDescent="0.25"/>
  <cols>
    <col min="3" max="4" width="13.5703125" customWidth="1"/>
    <col min="5" max="5" width="17.5703125" customWidth="1"/>
    <col min="8" max="8" width="16.28515625" customWidth="1"/>
    <col min="9" max="9" width="15.85546875" customWidth="1"/>
    <col min="10" max="10" width="14" customWidth="1"/>
    <col min="11" max="11" width="13.85546875" customWidth="1"/>
    <col min="12" max="12" width="16.5703125" customWidth="1"/>
    <col min="13" max="13" width="21" customWidth="1"/>
    <col min="14" max="14" width="13.7109375" customWidth="1"/>
    <col min="15" max="16" width="18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s="1">
        <v>18289</v>
      </c>
      <c r="D2" s="2">
        <f ca="1">YEARFRAC(C2,TODAY(),)</f>
        <v>75.772222222222226</v>
      </c>
      <c r="E2" t="s">
        <v>19</v>
      </c>
      <c r="F2" t="s">
        <v>20</v>
      </c>
      <c r="G2" t="s">
        <v>21</v>
      </c>
      <c r="H2" t="s">
        <v>22</v>
      </c>
      <c r="I2">
        <v>4</v>
      </c>
      <c r="J2" t="str" cm="1">
        <f t="array" ref="J2">_xlfn.IFS(I2&lt;=10,"0-10",I2&lt;=20,"11-20",I2&gt;20,"20+")</f>
        <v>0-10</v>
      </c>
      <c r="K2" t="s">
        <v>23</v>
      </c>
      <c r="L2" t="s">
        <v>24</v>
      </c>
      <c r="M2" t="s">
        <v>25</v>
      </c>
      <c r="N2" t="s">
        <v>26</v>
      </c>
      <c r="O2" s="1">
        <v>45147</v>
      </c>
      <c r="P2" s="2">
        <f>MONTH(O2)</f>
        <v>8</v>
      </c>
      <c r="Q2" s="2">
        <v>3941.97</v>
      </c>
    </row>
    <row r="3" spans="1:17" x14ac:dyDescent="0.25">
      <c r="A3" t="s">
        <v>27</v>
      </c>
      <c r="B3" t="s">
        <v>28</v>
      </c>
      <c r="C3" s="1">
        <v>29594</v>
      </c>
      <c r="D3" s="2">
        <f t="shared" ref="D3:D66" ca="1" si="0">YEARFRAC(C3,TODAY(),)</f>
        <v>44.822222222222223</v>
      </c>
      <c r="E3" t="s">
        <v>29</v>
      </c>
      <c r="F3" t="s">
        <v>30</v>
      </c>
      <c r="G3" t="s">
        <v>31</v>
      </c>
      <c r="H3" t="s">
        <v>22</v>
      </c>
      <c r="I3">
        <v>28</v>
      </c>
      <c r="J3" t="str" cm="1">
        <f t="array" ref="J3">_xlfn.IFS(I3&lt;=10,"0-10",I3&lt;=20,"11-20",I3&gt;20,"20+")</f>
        <v>20+</v>
      </c>
      <c r="K3" t="s">
        <v>23</v>
      </c>
      <c r="L3" t="s">
        <v>24</v>
      </c>
      <c r="M3" t="s">
        <v>32</v>
      </c>
      <c r="N3" t="s">
        <v>33</v>
      </c>
      <c r="O3" s="1">
        <v>45086</v>
      </c>
      <c r="P3" s="2">
        <f t="shared" ref="P3:P66" si="1">MONTH(O3)</f>
        <v>6</v>
      </c>
      <c r="Q3" s="2">
        <v>4158.4399999999996</v>
      </c>
    </row>
    <row r="4" spans="1:17" x14ac:dyDescent="0.25">
      <c r="A4" t="s">
        <v>34</v>
      </c>
      <c r="B4" t="s">
        <v>28</v>
      </c>
      <c r="C4" s="1">
        <v>30399</v>
      </c>
      <c r="D4" s="2">
        <f t="shared" ca="1" si="0"/>
        <v>42.611111111111114</v>
      </c>
      <c r="E4" t="s">
        <v>35</v>
      </c>
      <c r="F4" t="s">
        <v>30</v>
      </c>
      <c r="G4" t="s">
        <v>31</v>
      </c>
      <c r="H4" t="s">
        <v>22</v>
      </c>
      <c r="I4">
        <v>28</v>
      </c>
      <c r="J4" t="str" cm="1">
        <f t="array" ref="J4">_xlfn.IFS(I4&lt;=10,"0-10",I4&lt;=20,"11-20",I4&gt;20,"20+")</f>
        <v>20+</v>
      </c>
      <c r="K4" t="s">
        <v>23</v>
      </c>
      <c r="L4" t="s">
        <v>36</v>
      </c>
      <c r="M4" t="s">
        <v>37</v>
      </c>
      <c r="N4" t="s">
        <v>33</v>
      </c>
      <c r="O4" s="1">
        <v>45105</v>
      </c>
      <c r="P4" s="2">
        <f t="shared" si="1"/>
        <v>6</v>
      </c>
      <c r="Q4" s="2">
        <v>3731.55</v>
      </c>
    </row>
    <row r="5" spans="1:17" x14ac:dyDescent="0.25">
      <c r="A5" t="s">
        <v>38</v>
      </c>
      <c r="B5" t="s">
        <v>28</v>
      </c>
      <c r="C5" s="1">
        <v>24333</v>
      </c>
      <c r="D5" s="2">
        <f t="shared" ca="1" si="0"/>
        <v>59.222222222222221</v>
      </c>
      <c r="E5" t="s">
        <v>39</v>
      </c>
      <c r="F5" t="s">
        <v>40</v>
      </c>
      <c r="G5" t="s">
        <v>41</v>
      </c>
      <c r="H5" t="s">
        <v>22</v>
      </c>
      <c r="I5">
        <v>23</v>
      </c>
      <c r="J5" t="str" cm="1">
        <f t="array" ref="J5">_xlfn.IFS(I5&lt;=10,"0-10",I5&lt;=20,"11-20",I5&gt;20,"20+")</f>
        <v>20+</v>
      </c>
      <c r="K5" t="s">
        <v>23</v>
      </c>
      <c r="L5" t="s">
        <v>36</v>
      </c>
      <c r="M5" t="s">
        <v>37</v>
      </c>
      <c r="N5" t="s">
        <v>33</v>
      </c>
      <c r="O5" s="1">
        <v>45170</v>
      </c>
      <c r="P5" s="2">
        <f t="shared" si="1"/>
        <v>9</v>
      </c>
      <c r="Q5" s="2">
        <v>4799.8599999999997</v>
      </c>
    </row>
    <row r="6" spans="1:17" x14ac:dyDescent="0.25">
      <c r="A6" t="s">
        <v>42</v>
      </c>
      <c r="B6" t="s">
        <v>28</v>
      </c>
      <c r="C6" s="1">
        <v>26449</v>
      </c>
      <c r="D6" s="2">
        <f t="shared" ca="1" si="0"/>
        <v>53.427777777777777</v>
      </c>
      <c r="E6" t="s">
        <v>35</v>
      </c>
      <c r="F6" t="s">
        <v>43</v>
      </c>
      <c r="G6" t="s">
        <v>21</v>
      </c>
      <c r="H6" t="s">
        <v>22</v>
      </c>
      <c r="I6">
        <v>19</v>
      </c>
      <c r="J6" t="str" cm="1">
        <f t="array" ref="J6">_xlfn.IFS(I6&lt;=10,"0-10",I6&lt;=20,"11-20",I6&gt;20,"20+")</f>
        <v>11-20</v>
      </c>
      <c r="K6" t="s">
        <v>44</v>
      </c>
      <c r="L6" t="s">
        <v>45</v>
      </c>
      <c r="M6" t="s">
        <v>32</v>
      </c>
      <c r="N6" t="s">
        <v>46</v>
      </c>
      <c r="O6" s="1">
        <v>45113</v>
      </c>
      <c r="P6" s="2">
        <f t="shared" si="1"/>
        <v>7</v>
      </c>
      <c r="Q6" s="2">
        <v>582.04999999999995</v>
      </c>
    </row>
    <row r="7" spans="1:17" x14ac:dyDescent="0.25">
      <c r="A7" t="s">
        <v>47</v>
      </c>
      <c r="B7" t="s">
        <v>18</v>
      </c>
      <c r="C7" s="1">
        <v>24222</v>
      </c>
      <c r="D7" s="2">
        <f t="shared" ca="1" si="0"/>
        <v>59.524999999999999</v>
      </c>
      <c r="E7" t="s">
        <v>29</v>
      </c>
      <c r="F7" t="s">
        <v>40</v>
      </c>
      <c r="G7" t="s">
        <v>41</v>
      </c>
      <c r="H7" t="s">
        <v>22</v>
      </c>
      <c r="I7">
        <v>23</v>
      </c>
      <c r="J7" t="str" cm="1">
        <f t="array" ref="J7">_xlfn.IFS(I7&lt;=10,"0-10",I7&lt;=20,"11-20",I7&gt;20,"20+")</f>
        <v>20+</v>
      </c>
      <c r="K7" t="s">
        <v>23</v>
      </c>
      <c r="L7" t="s">
        <v>48</v>
      </c>
      <c r="M7" t="s">
        <v>25</v>
      </c>
      <c r="N7" t="s">
        <v>26</v>
      </c>
      <c r="O7" s="1">
        <v>45096</v>
      </c>
      <c r="P7" s="2">
        <f t="shared" si="1"/>
        <v>6</v>
      </c>
      <c r="Q7" s="2">
        <v>1381</v>
      </c>
    </row>
    <row r="8" spans="1:17" x14ac:dyDescent="0.25">
      <c r="A8" t="s">
        <v>49</v>
      </c>
      <c r="B8" t="s">
        <v>18</v>
      </c>
      <c r="C8" s="1">
        <v>20244</v>
      </c>
      <c r="D8" s="2">
        <f t="shared" ca="1" si="0"/>
        <v>70.416666666666671</v>
      </c>
      <c r="E8" t="s">
        <v>19</v>
      </c>
      <c r="F8" t="s">
        <v>50</v>
      </c>
      <c r="G8" t="s">
        <v>41</v>
      </c>
      <c r="H8" t="s">
        <v>51</v>
      </c>
      <c r="I8">
        <v>4</v>
      </c>
      <c r="J8" t="str" cm="1">
        <f t="array" ref="J8">_xlfn.IFS(I8&lt;=10,"0-10",I8&lt;=20,"11-20",I8&gt;20,"20+")</f>
        <v>0-10</v>
      </c>
      <c r="K8" t="s">
        <v>52</v>
      </c>
      <c r="L8" t="s">
        <v>36</v>
      </c>
      <c r="M8" t="s">
        <v>25</v>
      </c>
      <c r="N8" t="s">
        <v>26</v>
      </c>
      <c r="O8" s="1">
        <v>45025</v>
      </c>
      <c r="P8" s="2">
        <f t="shared" si="1"/>
        <v>4</v>
      </c>
      <c r="Q8" s="2">
        <v>534.03</v>
      </c>
    </row>
    <row r="9" spans="1:17" x14ac:dyDescent="0.25">
      <c r="A9" t="s">
        <v>53</v>
      </c>
      <c r="B9" t="s">
        <v>28</v>
      </c>
      <c r="C9" s="1">
        <v>36729</v>
      </c>
      <c r="D9" s="2">
        <f t="shared" ca="1" si="0"/>
        <v>25.283333333333335</v>
      </c>
      <c r="E9" t="s">
        <v>35</v>
      </c>
      <c r="F9" t="s">
        <v>54</v>
      </c>
      <c r="G9" t="s">
        <v>55</v>
      </c>
      <c r="H9" t="s">
        <v>51</v>
      </c>
      <c r="I9">
        <v>2</v>
      </c>
      <c r="J9" t="str" cm="1">
        <f t="array" ref="J9">_xlfn.IFS(I9&lt;=10,"0-10",I9&lt;=20,"11-20",I9&gt;20,"20+")</f>
        <v>0-10</v>
      </c>
      <c r="K9" t="s">
        <v>44</v>
      </c>
      <c r="L9" t="s">
        <v>36</v>
      </c>
      <c r="M9" t="s">
        <v>37</v>
      </c>
      <c r="N9" t="s">
        <v>56</v>
      </c>
      <c r="O9" s="1">
        <v>45070</v>
      </c>
      <c r="P9" s="2">
        <f t="shared" si="1"/>
        <v>5</v>
      </c>
      <c r="Q9" s="2">
        <v>3413.64</v>
      </c>
    </row>
    <row r="10" spans="1:17" x14ac:dyDescent="0.25">
      <c r="A10" t="s">
        <v>57</v>
      </c>
      <c r="B10" t="s">
        <v>18</v>
      </c>
      <c r="C10" s="1">
        <v>18609</v>
      </c>
      <c r="D10" s="2">
        <f t="shared" ca="1" si="0"/>
        <v>74.894444444444446</v>
      </c>
      <c r="E10" t="s">
        <v>35</v>
      </c>
      <c r="F10" t="s">
        <v>54</v>
      </c>
      <c r="G10" t="s">
        <v>55</v>
      </c>
      <c r="H10" t="s">
        <v>51</v>
      </c>
      <c r="I10">
        <v>2</v>
      </c>
      <c r="J10" t="str" cm="1">
        <f t="array" ref="J10">_xlfn.IFS(I10&lt;=10,"0-10",I10&lt;=20,"11-20",I10&gt;20,"20+")</f>
        <v>0-10</v>
      </c>
      <c r="K10" t="s">
        <v>44</v>
      </c>
      <c r="L10" t="s">
        <v>58</v>
      </c>
      <c r="M10" t="s">
        <v>25</v>
      </c>
      <c r="N10" t="s">
        <v>56</v>
      </c>
      <c r="O10" s="1">
        <v>44990</v>
      </c>
      <c r="P10" s="2">
        <f t="shared" si="1"/>
        <v>3</v>
      </c>
      <c r="Q10" s="2">
        <v>4541.1400000000003</v>
      </c>
    </row>
    <row r="11" spans="1:17" x14ac:dyDescent="0.25">
      <c r="A11" t="s">
        <v>59</v>
      </c>
      <c r="B11" t="s">
        <v>28</v>
      </c>
      <c r="C11" s="1">
        <v>22090</v>
      </c>
      <c r="D11" s="2">
        <f t="shared" ca="1" si="0"/>
        <v>65.363888888888894</v>
      </c>
      <c r="E11" t="s">
        <v>29</v>
      </c>
      <c r="F11" t="s">
        <v>43</v>
      </c>
      <c r="G11" t="s">
        <v>21</v>
      </c>
      <c r="H11" t="s">
        <v>22</v>
      </c>
      <c r="I11">
        <v>19</v>
      </c>
      <c r="J11" t="str" cm="1">
        <f t="array" ref="J11">_xlfn.IFS(I11&lt;=10,"0-10",I11&lt;=20,"11-20",I11&gt;20,"20+")</f>
        <v>11-20</v>
      </c>
      <c r="K11" t="s">
        <v>44</v>
      </c>
      <c r="L11" t="s">
        <v>24</v>
      </c>
      <c r="M11" t="s">
        <v>60</v>
      </c>
      <c r="N11" t="s">
        <v>56</v>
      </c>
      <c r="O11" s="1">
        <v>44939</v>
      </c>
      <c r="P11" s="2">
        <f t="shared" si="1"/>
        <v>1</v>
      </c>
      <c r="Q11" s="2">
        <v>1595.67</v>
      </c>
    </row>
    <row r="12" spans="1:17" x14ac:dyDescent="0.25">
      <c r="A12" t="s">
        <v>61</v>
      </c>
      <c r="B12" t="s">
        <v>28</v>
      </c>
      <c r="C12" s="1">
        <v>20219</v>
      </c>
      <c r="D12" s="2">
        <f t="shared" ca="1" si="0"/>
        <v>70.483333333333334</v>
      </c>
      <c r="E12" t="s">
        <v>29</v>
      </c>
      <c r="F12" t="s">
        <v>50</v>
      </c>
      <c r="G12" t="s">
        <v>41</v>
      </c>
      <c r="H12" t="s">
        <v>51</v>
      </c>
      <c r="I12">
        <v>4</v>
      </c>
      <c r="J12" t="str" cm="1">
        <f t="array" ref="J12">_xlfn.IFS(I12&lt;=10,"0-10",I12&lt;=20,"11-20",I12&gt;20,"20+")</f>
        <v>0-10</v>
      </c>
      <c r="K12" t="s">
        <v>52</v>
      </c>
      <c r="L12" t="s">
        <v>48</v>
      </c>
      <c r="M12" t="s">
        <v>32</v>
      </c>
      <c r="N12" t="s">
        <v>33</v>
      </c>
      <c r="O12" s="1">
        <v>45242</v>
      </c>
      <c r="P12" s="2">
        <f t="shared" si="1"/>
        <v>11</v>
      </c>
      <c r="Q12" s="2">
        <v>4671.66</v>
      </c>
    </row>
    <row r="13" spans="1:17" x14ac:dyDescent="0.25">
      <c r="A13" t="s">
        <v>62</v>
      </c>
      <c r="B13" t="s">
        <v>28</v>
      </c>
      <c r="C13" s="1">
        <v>38487</v>
      </c>
      <c r="D13" s="2">
        <f t="shared" ca="1" si="0"/>
        <v>20.469444444444445</v>
      </c>
      <c r="E13" t="s">
        <v>39</v>
      </c>
      <c r="F13" t="s">
        <v>43</v>
      </c>
      <c r="G13" t="s">
        <v>21</v>
      </c>
      <c r="H13" t="s">
        <v>22</v>
      </c>
      <c r="I13">
        <v>19</v>
      </c>
      <c r="J13" t="str" cm="1">
        <f t="array" ref="J13">_xlfn.IFS(I13&lt;=10,"0-10",I13&lt;=20,"11-20",I13&gt;20,"20+")</f>
        <v>11-20</v>
      </c>
      <c r="K13" t="s">
        <v>44</v>
      </c>
      <c r="L13" t="s">
        <v>58</v>
      </c>
      <c r="M13" t="s">
        <v>60</v>
      </c>
      <c r="N13" t="s">
        <v>26</v>
      </c>
      <c r="O13" s="1">
        <v>45053</v>
      </c>
      <c r="P13" s="2">
        <f t="shared" si="1"/>
        <v>5</v>
      </c>
      <c r="Q13" s="2">
        <v>771.2</v>
      </c>
    </row>
    <row r="14" spans="1:17" x14ac:dyDescent="0.25">
      <c r="A14" t="s">
        <v>63</v>
      </c>
      <c r="B14" t="s">
        <v>28</v>
      </c>
      <c r="C14" s="1">
        <v>28358</v>
      </c>
      <c r="D14" s="2">
        <f t="shared" ca="1" si="0"/>
        <v>48.202777777777776</v>
      </c>
      <c r="E14" t="s">
        <v>35</v>
      </c>
      <c r="F14" t="s">
        <v>43</v>
      </c>
      <c r="G14" t="s">
        <v>41</v>
      </c>
      <c r="H14" t="s">
        <v>22</v>
      </c>
      <c r="I14">
        <v>24</v>
      </c>
      <c r="J14" t="str" cm="1">
        <f t="array" ref="J14">_xlfn.IFS(I14&lt;=10,"0-10",I14&lt;=20,"11-20",I14&gt;20,"20+")</f>
        <v>20+</v>
      </c>
      <c r="K14" t="s">
        <v>44</v>
      </c>
      <c r="L14" t="s">
        <v>45</v>
      </c>
      <c r="M14" t="s">
        <v>25</v>
      </c>
      <c r="N14" t="s">
        <v>33</v>
      </c>
      <c r="O14" s="1">
        <v>45154</v>
      </c>
      <c r="P14" s="2">
        <f t="shared" si="1"/>
        <v>8</v>
      </c>
      <c r="Q14" s="2">
        <v>4704.96</v>
      </c>
    </row>
    <row r="15" spans="1:17" x14ac:dyDescent="0.25">
      <c r="A15" t="s">
        <v>64</v>
      </c>
      <c r="B15" t="s">
        <v>18</v>
      </c>
      <c r="C15" s="1">
        <v>33580</v>
      </c>
      <c r="D15" s="2">
        <f t="shared" ca="1" si="0"/>
        <v>33.905555555555559</v>
      </c>
      <c r="E15" t="s">
        <v>29</v>
      </c>
      <c r="F15" t="s">
        <v>54</v>
      </c>
      <c r="G15" t="s">
        <v>55</v>
      </c>
      <c r="H15" t="s">
        <v>51</v>
      </c>
      <c r="I15">
        <v>2</v>
      </c>
      <c r="J15" t="str" cm="1">
        <f t="array" ref="J15">_xlfn.IFS(I15&lt;=10,"0-10",I15&lt;=20,"11-20",I15&gt;20,"20+")</f>
        <v>0-10</v>
      </c>
      <c r="K15" t="s">
        <v>44</v>
      </c>
      <c r="L15" t="s">
        <v>45</v>
      </c>
      <c r="M15" t="s">
        <v>37</v>
      </c>
      <c r="N15" t="s">
        <v>46</v>
      </c>
      <c r="O15" s="1">
        <v>45071</v>
      </c>
      <c r="P15" s="2">
        <f t="shared" si="1"/>
        <v>5</v>
      </c>
      <c r="Q15" s="2">
        <v>2082.3000000000002</v>
      </c>
    </row>
    <row r="16" spans="1:17" x14ac:dyDescent="0.25">
      <c r="A16" t="s">
        <v>65</v>
      </c>
      <c r="B16" t="s">
        <v>28</v>
      </c>
      <c r="C16" s="1">
        <v>37953</v>
      </c>
      <c r="D16" s="2">
        <f t="shared" ca="1" si="0"/>
        <v>21.933333333333334</v>
      </c>
      <c r="E16" t="s">
        <v>29</v>
      </c>
      <c r="F16" t="s">
        <v>30</v>
      </c>
      <c r="G16" t="s">
        <v>31</v>
      </c>
      <c r="H16" t="s">
        <v>22</v>
      </c>
      <c r="I16">
        <v>28</v>
      </c>
      <c r="J16" t="str" cm="1">
        <f t="array" ref="J16">_xlfn.IFS(I16&lt;=10,"0-10",I16&lt;=20,"11-20",I16&gt;20,"20+")</f>
        <v>20+</v>
      </c>
      <c r="K16" t="s">
        <v>23</v>
      </c>
      <c r="L16" t="s">
        <v>36</v>
      </c>
      <c r="M16" t="s">
        <v>32</v>
      </c>
      <c r="N16" t="s">
        <v>56</v>
      </c>
      <c r="O16" s="1">
        <v>44941</v>
      </c>
      <c r="P16" s="2">
        <f t="shared" si="1"/>
        <v>1</v>
      </c>
      <c r="Q16" s="2">
        <v>956.39</v>
      </c>
    </row>
    <row r="17" spans="1:17" x14ac:dyDescent="0.25">
      <c r="A17" t="s">
        <v>53</v>
      </c>
      <c r="B17" t="s">
        <v>28</v>
      </c>
      <c r="C17" s="1">
        <v>36729</v>
      </c>
      <c r="D17" s="2">
        <f t="shared" ca="1" si="0"/>
        <v>25.283333333333335</v>
      </c>
      <c r="E17" t="s">
        <v>35</v>
      </c>
      <c r="F17" t="s">
        <v>54</v>
      </c>
      <c r="G17" t="s">
        <v>66</v>
      </c>
      <c r="H17" t="s">
        <v>67</v>
      </c>
      <c r="I17">
        <v>5</v>
      </c>
      <c r="J17" t="str" cm="1">
        <f t="array" ref="J17">_xlfn.IFS(I17&lt;=10,"0-10",I17&lt;=20,"11-20",I17&gt;20,"20+")</f>
        <v>0-10</v>
      </c>
      <c r="K17" t="s">
        <v>52</v>
      </c>
      <c r="L17" t="s">
        <v>36</v>
      </c>
      <c r="M17" t="s">
        <v>25</v>
      </c>
      <c r="N17" t="s">
        <v>33</v>
      </c>
      <c r="O17" s="1">
        <v>45107</v>
      </c>
      <c r="P17" s="2">
        <f t="shared" si="1"/>
        <v>6</v>
      </c>
      <c r="Q17" s="2">
        <v>2686.42</v>
      </c>
    </row>
    <row r="18" spans="1:17" x14ac:dyDescent="0.25">
      <c r="A18" t="s">
        <v>68</v>
      </c>
      <c r="B18" t="s">
        <v>28</v>
      </c>
      <c r="C18" s="1">
        <v>36196</v>
      </c>
      <c r="D18" s="2">
        <f t="shared" ca="1" si="0"/>
        <v>26.747222222222224</v>
      </c>
      <c r="E18" t="s">
        <v>39</v>
      </c>
      <c r="F18" t="s">
        <v>20</v>
      </c>
      <c r="G18" t="s">
        <v>21</v>
      </c>
      <c r="H18" t="s">
        <v>22</v>
      </c>
      <c r="I18">
        <v>4</v>
      </c>
      <c r="J18" t="str" cm="1">
        <f t="array" ref="J18">_xlfn.IFS(I18&lt;=10,"0-10",I18&lt;=20,"11-20",I18&gt;20,"20+")</f>
        <v>0-10</v>
      </c>
      <c r="K18" t="s">
        <v>23</v>
      </c>
      <c r="L18" t="s">
        <v>45</v>
      </c>
      <c r="M18" t="s">
        <v>25</v>
      </c>
      <c r="N18" t="s">
        <v>33</v>
      </c>
      <c r="O18" s="1">
        <v>45118</v>
      </c>
      <c r="P18" s="2">
        <f t="shared" si="1"/>
        <v>7</v>
      </c>
      <c r="Q18" s="2">
        <v>1655.49</v>
      </c>
    </row>
    <row r="19" spans="1:17" x14ac:dyDescent="0.25">
      <c r="A19" t="s">
        <v>61</v>
      </c>
      <c r="B19" t="s">
        <v>28</v>
      </c>
      <c r="C19" s="1">
        <v>20219</v>
      </c>
      <c r="D19" s="2">
        <f t="shared" ca="1" si="0"/>
        <v>70.483333333333334</v>
      </c>
      <c r="E19" t="s">
        <v>29</v>
      </c>
      <c r="F19" t="s">
        <v>50</v>
      </c>
      <c r="G19" t="s">
        <v>41</v>
      </c>
      <c r="H19" t="s">
        <v>51</v>
      </c>
      <c r="I19">
        <v>4</v>
      </c>
      <c r="J19" t="str" cm="1">
        <f t="array" ref="J19">_xlfn.IFS(I19&lt;=10,"0-10",I19&lt;=20,"11-20",I19&gt;20,"20+")</f>
        <v>0-10</v>
      </c>
      <c r="K19" t="s">
        <v>52</v>
      </c>
      <c r="L19" t="s">
        <v>36</v>
      </c>
      <c r="M19" t="s">
        <v>37</v>
      </c>
      <c r="N19" t="s">
        <v>46</v>
      </c>
      <c r="O19" s="1">
        <v>45244</v>
      </c>
      <c r="P19" s="2">
        <f t="shared" si="1"/>
        <v>11</v>
      </c>
      <c r="Q19" s="2">
        <v>1781.93</v>
      </c>
    </row>
    <row r="20" spans="1:17" x14ac:dyDescent="0.25">
      <c r="A20" t="s">
        <v>62</v>
      </c>
      <c r="B20" t="s">
        <v>28</v>
      </c>
      <c r="C20" s="1">
        <v>38487</v>
      </c>
      <c r="D20" s="2">
        <f t="shared" ca="1" si="0"/>
        <v>20.469444444444445</v>
      </c>
      <c r="E20" t="s">
        <v>39</v>
      </c>
      <c r="F20" t="s">
        <v>30</v>
      </c>
      <c r="G20" t="s">
        <v>69</v>
      </c>
      <c r="H20" t="s">
        <v>67</v>
      </c>
      <c r="I20">
        <v>17</v>
      </c>
      <c r="J20" t="str" cm="1">
        <f t="array" ref="J20">_xlfn.IFS(I20&lt;=10,"0-10",I20&lt;=20,"11-20",I20&gt;20,"20+")</f>
        <v>11-20</v>
      </c>
      <c r="K20" t="s">
        <v>52</v>
      </c>
      <c r="L20" t="s">
        <v>48</v>
      </c>
      <c r="M20" t="s">
        <v>37</v>
      </c>
      <c r="N20" t="s">
        <v>70</v>
      </c>
      <c r="O20" s="1">
        <v>44963</v>
      </c>
      <c r="P20" s="2">
        <f t="shared" si="1"/>
        <v>2</v>
      </c>
      <c r="Q20" s="2">
        <v>1882.8</v>
      </c>
    </row>
    <row r="21" spans="1:17" x14ac:dyDescent="0.25">
      <c r="A21" t="s">
        <v>71</v>
      </c>
      <c r="B21" t="s">
        <v>28</v>
      </c>
      <c r="C21" s="1">
        <v>24895</v>
      </c>
      <c r="D21" s="2">
        <f t="shared" ca="1" si="0"/>
        <v>57.68611111111111</v>
      </c>
      <c r="E21" t="s">
        <v>29</v>
      </c>
      <c r="F21" t="s">
        <v>43</v>
      </c>
      <c r="G21" t="s">
        <v>21</v>
      </c>
      <c r="H21" t="s">
        <v>22</v>
      </c>
      <c r="I21">
        <v>19</v>
      </c>
      <c r="J21" t="str" cm="1">
        <f t="array" ref="J21">_xlfn.IFS(I21&lt;=10,"0-10",I21&lt;=20,"11-20",I21&gt;20,"20+")</f>
        <v>11-20</v>
      </c>
      <c r="K21" t="s">
        <v>44</v>
      </c>
      <c r="L21" t="s">
        <v>36</v>
      </c>
      <c r="M21" t="s">
        <v>60</v>
      </c>
      <c r="N21" t="s">
        <v>26</v>
      </c>
      <c r="O21" s="1">
        <v>45265</v>
      </c>
      <c r="P21" s="2">
        <f t="shared" si="1"/>
        <v>12</v>
      </c>
      <c r="Q21" s="2">
        <v>4113.62</v>
      </c>
    </row>
    <row r="22" spans="1:17" x14ac:dyDescent="0.25">
      <c r="A22" t="s">
        <v>72</v>
      </c>
      <c r="B22" t="s">
        <v>28</v>
      </c>
      <c r="C22" s="1">
        <v>34072</v>
      </c>
      <c r="D22" s="2">
        <f t="shared" ca="1" si="0"/>
        <v>32.55833333333333</v>
      </c>
      <c r="E22" t="s">
        <v>29</v>
      </c>
      <c r="F22" t="s">
        <v>20</v>
      </c>
      <c r="G22" t="s">
        <v>21</v>
      </c>
      <c r="H22" t="s">
        <v>22</v>
      </c>
      <c r="I22">
        <v>4</v>
      </c>
      <c r="J22" t="str" cm="1">
        <f t="array" ref="J22">_xlfn.IFS(I22&lt;=10,"0-10",I22&lt;=20,"11-20",I22&gt;20,"20+")</f>
        <v>0-10</v>
      </c>
      <c r="K22" t="s">
        <v>23</v>
      </c>
      <c r="L22" t="s">
        <v>24</v>
      </c>
      <c r="M22" t="s">
        <v>32</v>
      </c>
      <c r="N22" t="s">
        <v>70</v>
      </c>
      <c r="O22" s="1">
        <v>45040</v>
      </c>
      <c r="P22" s="2">
        <f t="shared" si="1"/>
        <v>4</v>
      </c>
      <c r="Q22" s="2">
        <v>2926.23</v>
      </c>
    </row>
    <row r="23" spans="1:17" x14ac:dyDescent="0.25">
      <c r="A23" t="s">
        <v>59</v>
      </c>
      <c r="B23" t="s">
        <v>28</v>
      </c>
      <c r="C23" s="1">
        <v>22090</v>
      </c>
      <c r="D23" s="2">
        <f t="shared" ca="1" si="0"/>
        <v>65.363888888888894</v>
      </c>
      <c r="E23" t="s">
        <v>29</v>
      </c>
      <c r="F23" t="s">
        <v>30</v>
      </c>
      <c r="G23" t="s">
        <v>69</v>
      </c>
      <c r="H23" t="s">
        <v>67</v>
      </c>
      <c r="I23">
        <v>17</v>
      </c>
      <c r="J23" t="str" cm="1">
        <f t="array" ref="J23">_xlfn.IFS(I23&lt;=10,"0-10",I23&lt;=20,"11-20",I23&gt;20,"20+")</f>
        <v>11-20</v>
      </c>
      <c r="K23" t="s">
        <v>52</v>
      </c>
      <c r="L23" t="s">
        <v>36</v>
      </c>
      <c r="M23" t="s">
        <v>32</v>
      </c>
      <c r="N23" t="s">
        <v>56</v>
      </c>
      <c r="O23" s="1">
        <v>45244</v>
      </c>
      <c r="P23" s="2">
        <f t="shared" si="1"/>
        <v>11</v>
      </c>
      <c r="Q23" s="2">
        <v>1900.88</v>
      </c>
    </row>
    <row r="24" spans="1:17" x14ac:dyDescent="0.25">
      <c r="A24" t="s">
        <v>73</v>
      </c>
      <c r="B24" t="s">
        <v>28</v>
      </c>
      <c r="C24" s="1">
        <v>35046</v>
      </c>
      <c r="D24" s="2">
        <f t="shared" ca="1" si="0"/>
        <v>29.891666666666666</v>
      </c>
      <c r="E24" t="s">
        <v>19</v>
      </c>
      <c r="F24" t="s">
        <v>20</v>
      </c>
      <c r="G24" t="s">
        <v>21</v>
      </c>
      <c r="H24" t="s">
        <v>22</v>
      </c>
      <c r="I24">
        <v>4</v>
      </c>
      <c r="J24" t="str" cm="1">
        <f t="array" ref="J24">_xlfn.IFS(I24&lt;=10,"0-10",I24&lt;=20,"11-20",I24&gt;20,"20+")</f>
        <v>0-10</v>
      </c>
      <c r="K24" t="s">
        <v>23</v>
      </c>
      <c r="L24" t="s">
        <v>58</v>
      </c>
      <c r="M24" t="s">
        <v>37</v>
      </c>
      <c r="N24" t="s">
        <v>33</v>
      </c>
      <c r="O24" s="1">
        <v>45055</v>
      </c>
      <c r="P24" s="2">
        <f t="shared" si="1"/>
        <v>5</v>
      </c>
      <c r="Q24" s="2">
        <v>3246.5</v>
      </c>
    </row>
    <row r="25" spans="1:17" x14ac:dyDescent="0.25">
      <c r="A25" t="s">
        <v>74</v>
      </c>
      <c r="B25" t="s">
        <v>28</v>
      </c>
      <c r="C25" s="1">
        <v>26629</v>
      </c>
      <c r="D25" s="2">
        <f t="shared" ca="1" si="0"/>
        <v>52.93888888888889</v>
      </c>
      <c r="E25" t="s">
        <v>29</v>
      </c>
      <c r="F25" t="s">
        <v>54</v>
      </c>
      <c r="G25" t="s">
        <v>66</v>
      </c>
      <c r="H25" t="s">
        <v>67</v>
      </c>
      <c r="I25">
        <v>5</v>
      </c>
      <c r="J25" t="str" cm="1">
        <f t="array" ref="J25">_xlfn.IFS(I25&lt;=10,"0-10",I25&lt;=20,"11-20",I25&gt;20,"20+")</f>
        <v>0-10</v>
      </c>
      <c r="K25" t="s">
        <v>52</v>
      </c>
      <c r="L25" t="s">
        <v>48</v>
      </c>
      <c r="M25" t="s">
        <v>60</v>
      </c>
      <c r="N25" t="s">
        <v>46</v>
      </c>
      <c r="O25" s="1">
        <v>45098</v>
      </c>
      <c r="P25" s="2">
        <f t="shared" si="1"/>
        <v>6</v>
      </c>
      <c r="Q25" s="2">
        <v>3722.68</v>
      </c>
    </row>
    <row r="26" spans="1:17" x14ac:dyDescent="0.25">
      <c r="A26" t="s">
        <v>75</v>
      </c>
      <c r="B26" t="s">
        <v>28</v>
      </c>
      <c r="C26" s="1">
        <v>23734</v>
      </c>
      <c r="D26" s="2">
        <f t="shared" ca="1" si="0"/>
        <v>60.863888888888887</v>
      </c>
      <c r="E26" t="s">
        <v>35</v>
      </c>
      <c r="F26" t="s">
        <v>30</v>
      </c>
      <c r="G26" t="s">
        <v>69</v>
      </c>
      <c r="H26" t="s">
        <v>67</v>
      </c>
      <c r="I26">
        <v>17</v>
      </c>
      <c r="J26" t="str" cm="1">
        <f t="array" ref="J26">_xlfn.IFS(I26&lt;=10,"0-10",I26&lt;=20,"11-20",I26&gt;20,"20+")</f>
        <v>11-20</v>
      </c>
      <c r="K26" t="s">
        <v>52</v>
      </c>
      <c r="L26" t="s">
        <v>58</v>
      </c>
      <c r="M26" t="s">
        <v>32</v>
      </c>
      <c r="N26" t="s">
        <v>46</v>
      </c>
      <c r="O26" s="1">
        <v>44982</v>
      </c>
      <c r="P26" s="2">
        <f t="shared" si="1"/>
        <v>2</v>
      </c>
      <c r="Q26" s="2">
        <v>1726.81</v>
      </c>
    </row>
    <row r="27" spans="1:17" x14ac:dyDescent="0.25">
      <c r="A27" t="s">
        <v>76</v>
      </c>
      <c r="B27" t="s">
        <v>18</v>
      </c>
      <c r="C27" s="1">
        <v>31656</v>
      </c>
      <c r="D27" s="2">
        <f t="shared" ca="1" si="0"/>
        <v>39.174999999999997</v>
      </c>
      <c r="E27" t="s">
        <v>29</v>
      </c>
      <c r="F27" t="s">
        <v>40</v>
      </c>
      <c r="G27" t="s">
        <v>41</v>
      </c>
      <c r="H27" t="s">
        <v>22</v>
      </c>
      <c r="I27">
        <v>23</v>
      </c>
      <c r="J27" t="str" cm="1">
        <f t="array" ref="J27">_xlfn.IFS(I27&lt;=10,"0-10",I27&lt;=20,"11-20",I27&gt;20,"20+")</f>
        <v>20+</v>
      </c>
      <c r="K27" t="s">
        <v>23</v>
      </c>
      <c r="L27" t="s">
        <v>58</v>
      </c>
      <c r="M27" t="s">
        <v>37</v>
      </c>
      <c r="N27" t="s">
        <v>26</v>
      </c>
      <c r="O27" s="1">
        <v>45002</v>
      </c>
      <c r="P27" s="2">
        <f t="shared" si="1"/>
        <v>3</v>
      </c>
      <c r="Q27" s="2">
        <v>2360.9699999999998</v>
      </c>
    </row>
    <row r="28" spans="1:17" x14ac:dyDescent="0.25">
      <c r="A28" t="s">
        <v>59</v>
      </c>
      <c r="B28" t="s">
        <v>28</v>
      </c>
      <c r="C28" s="1">
        <v>22090</v>
      </c>
      <c r="D28" s="2">
        <f t="shared" ca="1" si="0"/>
        <v>65.363888888888894</v>
      </c>
      <c r="E28" t="s">
        <v>29</v>
      </c>
      <c r="F28" t="s">
        <v>20</v>
      </c>
      <c r="G28" t="s">
        <v>69</v>
      </c>
      <c r="H28" t="s">
        <v>67</v>
      </c>
      <c r="I28">
        <v>4</v>
      </c>
      <c r="J28" t="str" cm="1">
        <f t="array" ref="J28">_xlfn.IFS(I28&lt;=10,"0-10",I28&lt;=20,"11-20",I28&gt;20,"20+")</f>
        <v>0-10</v>
      </c>
      <c r="K28" t="s">
        <v>23</v>
      </c>
      <c r="L28" t="s">
        <v>24</v>
      </c>
      <c r="M28" t="s">
        <v>25</v>
      </c>
      <c r="N28" t="s">
        <v>70</v>
      </c>
      <c r="O28" s="1">
        <v>45244</v>
      </c>
      <c r="P28" s="2">
        <f t="shared" si="1"/>
        <v>11</v>
      </c>
      <c r="Q28" s="2">
        <v>1048.49</v>
      </c>
    </row>
    <row r="29" spans="1:17" x14ac:dyDescent="0.25">
      <c r="A29" t="s">
        <v>64</v>
      </c>
      <c r="B29" t="s">
        <v>18</v>
      </c>
      <c r="C29" s="1">
        <v>33580</v>
      </c>
      <c r="D29" s="2">
        <f t="shared" ca="1" si="0"/>
        <v>33.905555555555559</v>
      </c>
      <c r="E29" t="s">
        <v>29</v>
      </c>
      <c r="F29" t="s">
        <v>40</v>
      </c>
      <c r="G29" t="s">
        <v>41</v>
      </c>
      <c r="H29" t="s">
        <v>22</v>
      </c>
      <c r="I29">
        <v>23</v>
      </c>
      <c r="J29" t="str" cm="1">
        <f t="array" ref="J29">_xlfn.IFS(I29&lt;=10,"0-10",I29&lt;=20,"11-20",I29&gt;20,"20+")</f>
        <v>20+</v>
      </c>
      <c r="K29" t="s">
        <v>23</v>
      </c>
      <c r="L29" t="s">
        <v>48</v>
      </c>
      <c r="M29" t="s">
        <v>32</v>
      </c>
      <c r="N29" t="s">
        <v>26</v>
      </c>
      <c r="O29" s="1">
        <v>45228</v>
      </c>
      <c r="P29" s="2">
        <f t="shared" si="1"/>
        <v>10</v>
      </c>
      <c r="Q29" s="2">
        <v>1315.17</v>
      </c>
    </row>
    <row r="30" spans="1:17" x14ac:dyDescent="0.25">
      <c r="A30" t="s">
        <v>53</v>
      </c>
      <c r="B30" t="s">
        <v>28</v>
      </c>
      <c r="C30" s="1">
        <v>36729</v>
      </c>
      <c r="D30" s="2">
        <f t="shared" ca="1" si="0"/>
        <v>25.283333333333335</v>
      </c>
      <c r="E30" t="s">
        <v>35</v>
      </c>
      <c r="F30" t="s">
        <v>54</v>
      </c>
      <c r="G30" t="s">
        <v>55</v>
      </c>
      <c r="H30" t="s">
        <v>51</v>
      </c>
      <c r="I30">
        <v>2</v>
      </c>
      <c r="J30" t="str" cm="1">
        <f t="array" ref="J30">_xlfn.IFS(I30&lt;=10,"0-10",I30&lt;=20,"11-20",I30&gt;20,"20+")</f>
        <v>0-10</v>
      </c>
      <c r="K30" t="s">
        <v>44</v>
      </c>
      <c r="L30" t="s">
        <v>48</v>
      </c>
      <c r="M30" t="s">
        <v>60</v>
      </c>
      <c r="N30" t="s">
        <v>33</v>
      </c>
      <c r="O30" s="1">
        <v>45102</v>
      </c>
      <c r="P30" s="2">
        <f t="shared" si="1"/>
        <v>6</v>
      </c>
      <c r="Q30" s="2">
        <v>3565.03</v>
      </c>
    </row>
    <row r="31" spans="1:17" x14ac:dyDescent="0.25">
      <c r="A31" t="s">
        <v>65</v>
      </c>
      <c r="B31" t="s">
        <v>28</v>
      </c>
      <c r="C31" s="1">
        <v>37953</v>
      </c>
      <c r="D31" s="2">
        <f t="shared" ca="1" si="0"/>
        <v>21.933333333333334</v>
      </c>
      <c r="E31" t="s">
        <v>29</v>
      </c>
      <c r="F31" t="s">
        <v>20</v>
      </c>
      <c r="G31" t="s">
        <v>69</v>
      </c>
      <c r="H31" t="s">
        <v>67</v>
      </c>
      <c r="I31">
        <v>4</v>
      </c>
      <c r="J31" t="str" cm="1">
        <f t="array" ref="J31">_xlfn.IFS(I31&lt;=10,"0-10",I31&lt;=20,"11-20",I31&gt;20,"20+")</f>
        <v>0-10</v>
      </c>
      <c r="K31" t="s">
        <v>23</v>
      </c>
      <c r="L31" t="s">
        <v>48</v>
      </c>
      <c r="M31" t="s">
        <v>60</v>
      </c>
      <c r="N31" t="s">
        <v>26</v>
      </c>
      <c r="O31" s="1">
        <v>45167</v>
      </c>
      <c r="P31" s="2">
        <f t="shared" si="1"/>
        <v>8</v>
      </c>
      <c r="Q31" s="2">
        <v>1316.47</v>
      </c>
    </row>
    <row r="32" spans="1:17" x14ac:dyDescent="0.25">
      <c r="A32" t="s">
        <v>65</v>
      </c>
      <c r="B32" t="s">
        <v>28</v>
      </c>
      <c r="C32" s="1">
        <v>37953</v>
      </c>
      <c r="D32" s="2">
        <f t="shared" ca="1" si="0"/>
        <v>21.933333333333334</v>
      </c>
      <c r="E32" t="s">
        <v>29</v>
      </c>
      <c r="F32" t="s">
        <v>40</v>
      </c>
      <c r="G32" t="s">
        <v>41</v>
      </c>
      <c r="H32" t="s">
        <v>22</v>
      </c>
      <c r="I32">
        <v>23</v>
      </c>
      <c r="J32" t="str" cm="1">
        <f t="array" ref="J32">_xlfn.IFS(I32&lt;=10,"0-10",I32&lt;=20,"11-20",I32&gt;20,"20+")</f>
        <v>20+</v>
      </c>
      <c r="K32" t="s">
        <v>23</v>
      </c>
      <c r="L32" t="s">
        <v>48</v>
      </c>
      <c r="M32" t="s">
        <v>60</v>
      </c>
      <c r="N32" t="s">
        <v>46</v>
      </c>
      <c r="O32" s="1">
        <v>45020</v>
      </c>
      <c r="P32" s="2">
        <f t="shared" si="1"/>
        <v>4</v>
      </c>
      <c r="Q32" s="2">
        <v>2863.24</v>
      </c>
    </row>
    <row r="33" spans="1:17" x14ac:dyDescent="0.25">
      <c r="A33" t="s">
        <v>34</v>
      </c>
      <c r="B33" t="s">
        <v>28</v>
      </c>
      <c r="C33" s="1">
        <v>30399</v>
      </c>
      <c r="D33" s="2">
        <f t="shared" ca="1" si="0"/>
        <v>42.611111111111114</v>
      </c>
      <c r="E33" t="s">
        <v>35</v>
      </c>
      <c r="F33" t="s">
        <v>20</v>
      </c>
      <c r="G33" t="s">
        <v>69</v>
      </c>
      <c r="H33" t="s">
        <v>67</v>
      </c>
      <c r="I33">
        <v>4</v>
      </c>
      <c r="J33" t="str" cm="1">
        <f t="array" ref="J33">_xlfn.IFS(I33&lt;=10,"0-10",I33&lt;=20,"11-20",I33&gt;20,"20+")</f>
        <v>0-10</v>
      </c>
      <c r="K33" t="s">
        <v>23</v>
      </c>
      <c r="L33" t="s">
        <v>48</v>
      </c>
      <c r="M33" t="s">
        <v>25</v>
      </c>
      <c r="N33" t="s">
        <v>46</v>
      </c>
      <c r="O33" s="1">
        <v>45236</v>
      </c>
      <c r="P33" s="2">
        <f t="shared" si="1"/>
        <v>11</v>
      </c>
      <c r="Q33" s="2">
        <v>3690.71</v>
      </c>
    </row>
    <row r="34" spans="1:17" x14ac:dyDescent="0.25">
      <c r="A34" t="s">
        <v>77</v>
      </c>
      <c r="B34" t="s">
        <v>28</v>
      </c>
      <c r="C34" s="1">
        <v>37316</v>
      </c>
      <c r="D34" s="2">
        <f t="shared" ca="1" si="0"/>
        <v>23.675000000000001</v>
      </c>
      <c r="E34" t="s">
        <v>19</v>
      </c>
      <c r="F34" t="s">
        <v>20</v>
      </c>
      <c r="G34" t="s">
        <v>69</v>
      </c>
      <c r="H34" t="s">
        <v>67</v>
      </c>
      <c r="I34">
        <v>4</v>
      </c>
      <c r="J34" t="str" cm="1">
        <f t="array" ref="J34">_xlfn.IFS(I34&lt;=10,"0-10",I34&lt;=20,"11-20",I34&gt;20,"20+")</f>
        <v>0-10</v>
      </c>
      <c r="K34" t="s">
        <v>23</v>
      </c>
      <c r="L34" t="s">
        <v>24</v>
      </c>
      <c r="M34" t="s">
        <v>32</v>
      </c>
      <c r="N34" t="s">
        <v>56</v>
      </c>
      <c r="O34" s="1">
        <v>45192</v>
      </c>
      <c r="P34" s="2">
        <f t="shared" si="1"/>
        <v>9</v>
      </c>
      <c r="Q34" s="2">
        <v>980.95</v>
      </c>
    </row>
    <row r="35" spans="1:17" x14ac:dyDescent="0.25">
      <c r="A35" t="s">
        <v>57</v>
      </c>
      <c r="B35" t="s">
        <v>18</v>
      </c>
      <c r="C35" s="1">
        <v>18609</v>
      </c>
      <c r="D35" s="2">
        <f t="shared" ca="1" si="0"/>
        <v>74.894444444444446</v>
      </c>
      <c r="E35" t="s">
        <v>35</v>
      </c>
      <c r="F35" t="s">
        <v>30</v>
      </c>
      <c r="G35" t="s">
        <v>31</v>
      </c>
      <c r="H35" t="s">
        <v>22</v>
      </c>
      <c r="I35">
        <v>28</v>
      </c>
      <c r="J35" t="str" cm="1">
        <f t="array" ref="J35">_xlfn.IFS(I35&lt;=10,"0-10",I35&lt;=20,"11-20",I35&gt;20,"20+")</f>
        <v>20+</v>
      </c>
      <c r="K35" t="s">
        <v>23</v>
      </c>
      <c r="L35" t="s">
        <v>36</v>
      </c>
      <c r="M35" t="s">
        <v>32</v>
      </c>
      <c r="N35" t="s">
        <v>56</v>
      </c>
      <c r="O35" s="1">
        <v>45090</v>
      </c>
      <c r="P35" s="2">
        <f t="shared" si="1"/>
        <v>6</v>
      </c>
      <c r="Q35" s="2">
        <v>3052.9</v>
      </c>
    </row>
    <row r="36" spans="1:17" x14ac:dyDescent="0.25">
      <c r="A36" t="s">
        <v>78</v>
      </c>
      <c r="B36" t="s">
        <v>28</v>
      </c>
      <c r="C36" s="1">
        <v>35790</v>
      </c>
      <c r="D36" s="2">
        <f t="shared" ca="1" si="0"/>
        <v>27.855555555555554</v>
      </c>
      <c r="E36" t="s">
        <v>29</v>
      </c>
      <c r="F36" t="s">
        <v>43</v>
      </c>
      <c r="G36" t="s">
        <v>21</v>
      </c>
      <c r="H36" t="s">
        <v>22</v>
      </c>
      <c r="I36">
        <v>19</v>
      </c>
      <c r="J36" t="str" cm="1">
        <f t="array" ref="J36">_xlfn.IFS(I36&lt;=10,"0-10",I36&lt;=20,"11-20",I36&gt;20,"20+")</f>
        <v>11-20</v>
      </c>
      <c r="K36" t="s">
        <v>44</v>
      </c>
      <c r="L36" t="s">
        <v>58</v>
      </c>
      <c r="M36" t="s">
        <v>25</v>
      </c>
      <c r="N36" t="s">
        <v>33</v>
      </c>
      <c r="O36" s="1">
        <v>45034</v>
      </c>
      <c r="P36" s="2">
        <f t="shared" si="1"/>
        <v>4</v>
      </c>
      <c r="Q36" s="2">
        <v>1654.53</v>
      </c>
    </row>
    <row r="37" spans="1:17" x14ac:dyDescent="0.25">
      <c r="A37" t="s">
        <v>79</v>
      </c>
      <c r="B37" t="s">
        <v>18</v>
      </c>
      <c r="C37" s="1">
        <v>25605</v>
      </c>
      <c r="D37" s="2">
        <f t="shared" ca="1" si="0"/>
        <v>55.744444444444447</v>
      </c>
      <c r="E37" t="s">
        <v>29</v>
      </c>
      <c r="F37" t="s">
        <v>43</v>
      </c>
      <c r="G37" t="s">
        <v>21</v>
      </c>
      <c r="H37" t="s">
        <v>22</v>
      </c>
      <c r="I37">
        <v>19</v>
      </c>
      <c r="J37" t="str" cm="1">
        <f t="array" ref="J37">_xlfn.IFS(I37&lt;=10,"0-10",I37&lt;=20,"11-20",I37&gt;20,"20+")</f>
        <v>11-20</v>
      </c>
      <c r="K37" t="s">
        <v>44</v>
      </c>
      <c r="L37" t="s">
        <v>48</v>
      </c>
      <c r="M37" t="s">
        <v>32</v>
      </c>
      <c r="N37" t="s">
        <v>70</v>
      </c>
      <c r="O37" s="1">
        <v>44934</v>
      </c>
      <c r="P37" s="2">
        <f t="shared" si="1"/>
        <v>1</v>
      </c>
      <c r="Q37" s="2">
        <v>4833.17</v>
      </c>
    </row>
    <row r="38" spans="1:17" x14ac:dyDescent="0.25">
      <c r="A38" t="s">
        <v>75</v>
      </c>
      <c r="B38" t="s">
        <v>28</v>
      </c>
      <c r="C38" s="1">
        <v>23734</v>
      </c>
      <c r="D38" s="2">
        <f t="shared" ca="1" si="0"/>
        <v>60.863888888888887</v>
      </c>
      <c r="E38" t="s">
        <v>35</v>
      </c>
      <c r="F38" t="s">
        <v>30</v>
      </c>
      <c r="G38" t="s">
        <v>31</v>
      </c>
      <c r="H38" t="s">
        <v>22</v>
      </c>
      <c r="I38">
        <v>28</v>
      </c>
      <c r="J38" t="str" cm="1">
        <f t="array" ref="J38">_xlfn.IFS(I38&lt;=10,"0-10",I38&lt;=20,"11-20",I38&gt;20,"20+")</f>
        <v>20+</v>
      </c>
      <c r="K38" t="s">
        <v>23</v>
      </c>
      <c r="L38" t="s">
        <v>36</v>
      </c>
      <c r="M38" t="s">
        <v>25</v>
      </c>
      <c r="N38" t="s">
        <v>26</v>
      </c>
      <c r="O38" s="1">
        <v>45013</v>
      </c>
      <c r="P38" s="2">
        <f t="shared" si="1"/>
        <v>3</v>
      </c>
      <c r="Q38" s="2">
        <v>2675.96</v>
      </c>
    </row>
    <row r="39" spans="1:17" x14ac:dyDescent="0.25">
      <c r="A39" t="s">
        <v>68</v>
      </c>
      <c r="B39" t="s">
        <v>28</v>
      </c>
      <c r="C39" s="1">
        <v>36196</v>
      </c>
      <c r="D39" s="2">
        <f t="shared" ca="1" si="0"/>
        <v>26.747222222222224</v>
      </c>
      <c r="E39" t="s">
        <v>39</v>
      </c>
      <c r="F39" t="s">
        <v>20</v>
      </c>
      <c r="G39" t="s">
        <v>21</v>
      </c>
      <c r="H39" t="s">
        <v>22</v>
      </c>
      <c r="I39">
        <v>4</v>
      </c>
      <c r="J39" t="str" cm="1">
        <f t="array" ref="J39">_xlfn.IFS(I39&lt;=10,"0-10",I39&lt;=20,"11-20",I39&gt;20,"20+")</f>
        <v>0-10</v>
      </c>
      <c r="K39" t="s">
        <v>23</v>
      </c>
      <c r="L39" t="s">
        <v>36</v>
      </c>
      <c r="M39" t="s">
        <v>25</v>
      </c>
      <c r="N39" t="s">
        <v>33</v>
      </c>
      <c r="O39" s="1">
        <v>44980</v>
      </c>
      <c r="P39" s="2">
        <f t="shared" si="1"/>
        <v>2</v>
      </c>
      <c r="Q39" s="2">
        <v>4126.97</v>
      </c>
    </row>
    <row r="40" spans="1:17" x14ac:dyDescent="0.25">
      <c r="A40" t="s">
        <v>80</v>
      </c>
      <c r="B40" t="s">
        <v>28</v>
      </c>
      <c r="C40" s="1">
        <v>34387</v>
      </c>
      <c r="D40" s="2">
        <f t="shared" ca="1" si="0"/>
        <v>31.7</v>
      </c>
      <c r="E40" t="s">
        <v>19</v>
      </c>
      <c r="F40" t="s">
        <v>43</v>
      </c>
      <c r="G40" t="s">
        <v>41</v>
      </c>
      <c r="H40" t="s">
        <v>22</v>
      </c>
      <c r="I40">
        <v>24</v>
      </c>
      <c r="J40" t="str" cm="1">
        <f t="array" ref="J40">_xlfn.IFS(I40&lt;=10,"0-10",I40&lt;=20,"11-20",I40&gt;20,"20+")</f>
        <v>20+</v>
      </c>
      <c r="K40" t="s">
        <v>44</v>
      </c>
      <c r="L40" t="s">
        <v>58</v>
      </c>
      <c r="M40" t="s">
        <v>25</v>
      </c>
      <c r="N40" t="s">
        <v>56</v>
      </c>
      <c r="O40" s="1">
        <v>45033</v>
      </c>
      <c r="P40" s="2">
        <f t="shared" si="1"/>
        <v>4</v>
      </c>
      <c r="Q40" s="2">
        <v>2976.02</v>
      </c>
    </row>
    <row r="41" spans="1:17" x14ac:dyDescent="0.25">
      <c r="A41" t="s">
        <v>81</v>
      </c>
      <c r="B41" t="s">
        <v>28</v>
      </c>
      <c r="C41" s="1">
        <v>37177</v>
      </c>
      <c r="D41" s="2">
        <f t="shared" ca="1" si="0"/>
        <v>24.058333333333334</v>
      </c>
      <c r="E41" t="s">
        <v>19</v>
      </c>
      <c r="F41" t="s">
        <v>20</v>
      </c>
      <c r="G41" t="s">
        <v>21</v>
      </c>
      <c r="H41" t="s">
        <v>22</v>
      </c>
      <c r="I41">
        <v>4</v>
      </c>
      <c r="J41" t="str" cm="1">
        <f t="array" ref="J41">_xlfn.IFS(I41&lt;=10,"0-10",I41&lt;=20,"11-20",I41&gt;20,"20+")</f>
        <v>0-10</v>
      </c>
      <c r="K41" t="s">
        <v>23</v>
      </c>
      <c r="L41" t="s">
        <v>24</v>
      </c>
      <c r="M41" t="s">
        <v>60</v>
      </c>
      <c r="N41" t="s">
        <v>26</v>
      </c>
      <c r="O41" s="1">
        <v>45012</v>
      </c>
      <c r="P41" s="2">
        <f t="shared" si="1"/>
        <v>3</v>
      </c>
      <c r="Q41" s="2">
        <v>695.36</v>
      </c>
    </row>
    <row r="42" spans="1:17" x14ac:dyDescent="0.25">
      <c r="A42" t="s">
        <v>59</v>
      </c>
      <c r="B42" t="s">
        <v>28</v>
      </c>
      <c r="C42" s="1">
        <v>22090</v>
      </c>
      <c r="D42" s="2">
        <f t="shared" ca="1" si="0"/>
        <v>65.363888888888894</v>
      </c>
      <c r="E42" t="s">
        <v>29</v>
      </c>
      <c r="F42" t="s">
        <v>30</v>
      </c>
      <c r="G42" t="s">
        <v>69</v>
      </c>
      <c r="H42" t="s">
        <v>67</v>
      </c>
      <c r="I42">
        <v>17</v>
      </c>
      <c r="J42" t="str" cm="1">
        <f t="array" ref="J42">_xlfn.IFS(I42&lt;=10,"0-10",I42&lt;=20,"11-20",I42&gt;20,"20+")</f>
        <v>11-20</v>
      </c>
      <c r="K42" t="s">
        <v>52</v>
      </c>
      <c r="L42" t="s">
        <v>45</v>
      </c>
      <c r="M42" t="s">
        <v>32</v>
      </c>
      <c r="N42" t="s">
        <v>56</v>
      </c>
      <c r="O42" s="1">
        <v>44927</v>
      </c>
      <c r="P42" s="2">
        <f t="shared" si="1"/>
        <v>1</v>
      </c>
      <c r="Q42" s="2">
        <v>3349.18</v>
      </c>
    </row>
    <row r="43" spans="1:17" x14ac:dyDescent="0.25">
      <c r="A43" t="s">
        <v>78</v>
      </c>
      <c r="B43" t="s">
        <v>28</v>
      </c>
      <c r="C43" s="1">
        <v>35790</v>
      </c>
      <c r="D43" s="2">
        <f t="shared" ca="1" si="0"/>
        <v>27.855555555555554</v>
      </c>
      <c r="E43" t="s">
        <v>29</v>
      </c>
      <c r="F43" t="s">
        <v>30</v>
      </c>
      <c r="G43" t="s">
        <v>69</v>
      </c>
      <c r="H43" t="s">
        <v>67</v>
      </c>
      <c r="I43">
        <v>17</v>
      </c>
      <c r="J43" t="str" cm="1">
        <f t="array" ref="J43">_xlfn.IFS(I43&lt;=10,"0-10",I43&lt;=20,"11-20",I43&gt;20,"20+")</f>
        <v>11-20</v>
      </c>
      <c r="K43" t="s">
        <v>52</v>
      </c>
      <c r="L43" t="s">
        <v>45</v>
      </c>
      <c r="M43" t="s">
        <v>25</v>
      </c>
      <c r="N43" t="s">
        <v>26</v>
      </c>
      <c r="O43" s="1">
        <v>45006</v>
      </c>
      <c r="P43" s="2">
        <f t="shared" si="1"/>
        <v>3</v>
      </c>
      <c r="Q43" s="2">
        <v>4781.32</v>
      </c>
    </row>
    <row r="44" spans="1:17" x14ac:dyDescent="0.25">
      <c r="A44" t="s">
        <v>17</v>
      </c>
      <c r="B44" t="s">
        <v>18</v>
      </c>
      <c r="C44" s="1">
        <v>18289</v>
      </c>
      <c r="D44" s="2">
        <f t="shared" ca="1" si="0"/>
        <v>75.772222222222226</v>
      </c>
      <c r="E44" t="s">
        <v>19</v>
      </c>
      <c r="F44" t="s">
        <v>20</v>
      </c>
      <c r="G44" t="s">
        <v>69</v>
      </c>
      <c r="H44" t="s">
        <v>67</v>
      </c>
      <c r="I44">
        <v>4</v>
      </c>
      <c r="J44" t="str" cm="1">
        <f t="array" ref="J44">_xlfn.IFS(I44&lt;=10,"0-10",I44&lt;=20,"11-20",I44&gt;20,"20+")</f>
        <v>0-10</v>
      </c>
      <c r="K44" t="s">
        <v>23</v>
      </c>
      <c r="L44" t="s">
        <v>36</v>
      </c>
      <c r="M44" t="s">
        <v>32</v>
      </c>
      <c r="N44" t="s">
        <v>70</v>
      </c>
      <c r="O44" s="1">
        <v>45014</v>
      </c>
      <c r="P44" s="2">
        <f t="shared" si="1"/>
        <v>3</v>
      </c>
      <c r="Q44" s="2">
        <v>3207.25</v>
      </c>
    </row>
    <row r="45" spans="1:17" x14ac:dyDescent="0.25">
      <c r="A45" t="s">
        <v>82</v>
      </c>
      <c r="B45" t="s">
        <v>28</v>
      </c>
      <c r="C45" s="1">
        <v>31791</v>
      </c>
      <c r="D45" s="2">
        <f t="shared" ca="1" si="0"/>
        <v>38.805555555555557</v>
      </c>
      <c r="E45" t="s">
        <v>19</v>
      </c>
      <c r="F45" t="s">
        <v>40</v>
      </c>
      <c r="G45" t="s">
        <v>41</v>
      </c>
      <c r="H45" t="s">
        <v>22</v>
      </c>
      <c r="I45">
        <v>23</v>
      </c>
      <c r="J45" t="str" cm="1">
        <f t="array" ref="J45">_xlfn.IFS(I45&lt;=10,"0-10",I45&lt;=20,"11-20",I45&gt;20,"20+")</f>
        <v>20+</v>
      </c>
      <c r="K45" t="s">
        <v>23</v>
      </c>
      <c r="L45" t="s">
        <v>58</v>
      </c>
      <c r="M45" t="s">
        <v>60</v>
      </c>
      <c r="N45" t="s">
        <v>33</v>
      </c>
      <c r="O45" s="1">
        <v>45189</v>
      </c>
      <c r="P45" s="2">
        <f t="shared" si="1"/>
        <v>9</v>
      </c>
      <c r="Q45" s="2">
        <v>4186.3500000000004</v>
      </c>
    </row>
    <row r="46" spans="1:17" x14ac:dyDescent="0.25">
      <c r="A46" t="s">
        <v>81</v>
      </c>
      <c r="B46" t="s">
        <v>28</v>
      </c>
      <c r="C46" s="1">
        <v>37177</v>
      </c>
      <c r="D46" s="2">
        <f t="shared" ca="1" si="0"/>
        <v>24.058333333333334</v>
      </c>
      <c r="E46" t="s">
        <v>19</v>
      </c>
      <c r="F46" t="s">
        <v>40</v>
      </c>
      <c r="G46" t="s">
        <v>41</v>
      </c>
      <c r="H46" t="s">
        <v>22</v>
      </c>
      <c r="I46">
        <v>23</v>
      </c>
      <c r="J46" t="str" cm="1">
        <f t="array" ref="J46">_xlfn.IFS(I46&lt;=10,"0-10",I46&lt;=20,"11-20",I46&gt;20,"20+")</f>
        <v>20+</v>
      </c>
      <c r="K46" t="s">
        <v>23</v>
      </c>
      <c r="L46" t="s">
        <v>45</v>
      </c>
      <c r="M46" t="s">
        <v>25</v>
      </c>
      <c r="N46" t="s">
        <v>26</v>
      </c>
      <c r="O46" s="1">
        <v>45197</v>
      </c>
      <c r="P46" s="2">
        <f t="shared" si="1"/>
        <v>9</v>
      </c>
      <c r="Q46" s="2">
        <v>4478.93</v>
      </c>
    </row>
    <row r="47" spans="1:17" x14ac:dyDescent="0.25">
      <c r="A47" t="s">
        <v>83</v>
      </c>
      <c r="B47" t="s">
        <v>28</v>
      </c>
      <c r="C47" s="1">
        <v>27538</v>
      </c>
      <c r="D47" s="2">
        <f t="shared" ca="1" si="0"/>
        <v>50.444444444444443</v>
      </c>
      <c r="E47" t="s">
        <v>19</v>
      </c>
      <c r="F47" t="s">
        <v>43</v>
      </c>
      <c r="G47" t="s">
        <v>21</v>
      </c>
      <c r="H47" t="s">
        <v>22</v>
      </c>
      <c r="I47">
        <v>19</v>
      </c>
      <c r="J47" t="str" cm="1">
        <f t="array" ref="J47">_xlfn.IFS(I47&lt;=10,"0-10",I47&lt;=20,"11-20",I47&gt;20,"20+")</f>
        <v>11-20</v>
      </c>
      <c r="K47" t="s">
        <v>44</v>
      </c>
      <c r="L47" t="s">
        <v>36</v>
      </c>
      <c r="M47" t="s">
        <v>37</v>
      </c>
      <c r="N47" t="s">
        <v>46</v>
      </c>
      <c r="O47" s="1">
        <v>45280</v>
      </c>
      <c r="P47" s="2">
        <f t="shared" si="1"/>
        <v>12</v>
      </c>
      <c r="Q47" s="2">
        <v>1526.36</v>
      </c>
    </row>
    <row r="48" spans="1:17" x14ac:dyDescent="0.25">
      <c r="A48" t="s">
        <v>27</v>
      </c>
      <c r="B48" t="s">
        <v>28</v>
      </c>
      <c r="C48" s="1">
        <v>29594</v>
      </c>
      <c r="D48" s="2">
        <f t="shared" ca="1" si="0"/>
        <v>44.822222222222223</v>
      </c>
      <c r="E48" t="s">
        <v>29</v>
      </c>
      <c r="F48" t="s">
        <v>50</v>
      </c>
      <c r="G48" t="s">
        <v>41</v>
      </c>
      <c r="H48" t="s">
        <v>51</v>
      </c>
      <c r="I48">
        <v>4</v>
      </c>
      <c r="J48" t="str" cm="1">
        <f t="array" ref="J48">_xlfn.IFS(I48&lt;=10,"0-10",I48&lt;=20,"11-20",I48&gt;20,"20+")</f>
        <v>0-10</v>
      </c>
      <c r="K48" t="s">
        <v>52</v>
      </c>
      <c r="L48" t="s">
        <v>24</v>
      </c>
      <c r="M48" t="s">
        <v>60</v>
      </c>
      <c r="N48" t="s">
        <v>46</v>
      </c>
      <c r="O48" s="1">
        <v>45048</v>
      </c>
      <c r="P48" s="2">
        <f t="shared" si="1"/>
        <v>5</v>
      </c>
      <c r="Q48" s="2">
        <v>1454.2</v>
      </c>
    </row>
    <row r="49" spans="1:17" x14ac:dyDescent="0.25">
      <c r="A49" t="s">
        <v>49</v>
      </c>
      <c r="B49" t="s">
        <v>18</v>
      </c>
      <c r="C49" s="1">
        <v>20244</v>
      </c>
      <c r="D49" s="2">
        <f t="shared" ca="1" si="0"/>
        <v>70.416666666666671</v>
      </c>
      <c r="E49" t="s">
        <v>19</v>
      </c>
      <c r="F49" t="s">
        <v>20</v>
      </c>
      <c r="G49" t="s">
        <v>21</v>
      </c>
      <c r="H49" t="s">
        <v>22</v>
      </c>
      <c r="I49">
        <v>4</v>
      </c>
      <c r="J49" t="str" cm="1">
        <f t="array" ref="J49">_xlfn.IFS(I49&lt;=10,"0-10",I49&lt;=20,"11-20",I49&gt;20,"20+")</f>
        <v>0-10</v>
      </c>
      <c r="K49" t="s">
        <v>23</v>
      </c>
      <c r="L49" t="s">
        <v>45</v>
      </c>
      <c r="M49" t="s">
        <v>37</v>
      </c>
      <c r="N49" t="s">
        <v>26</v>
      </c>
      <c r="O49" s="1">
        <v>44942</v>
      </c>
      <c r="P49" s="2">
        <f t="shared" si="1"/>
        <v>1</v>
      </c>
      <c r="Q49" s="2">
        <v>3249.41</v>
      </c>
    </row>
    <row r="50" spans="1:17" x14ac:dyDescent="0.25">
      <c r="A50" t="s">
        <v>59</v>
      </c>
      <c r="B50" t="s">
        <v>28</v>
      </c>
      <c r="C50" s="1">
        <v>22090</v>
      </c>
      <c r="D50" s="2">
        <f t="shared" ca="1" si="0"/>
        <v>65.363888888888894</v>
      </c>
      <c r="E50" t="s">
        <v>29</v>
      </c>
      <c r="F50" t="s">
        <v>54</v>
      </c>
      <c r="G50" t="s">
        <v>55</v>
      </c>
      <c r="H50" t="s">
        <v>51</v>
      </c>
      <c r="I50">
        <v>2</v>
      </c>
      <c r="J50" t="str" cm="1">
        <f t="array" ref="J50">_xlfn.IFS(I50&lt;=10,"0-10",I50&lt;=20,"11-20",I50&gt;20,"20+")</f>
        <v>0-10</v>
      </c>
      <c r="K50" t="s">
        <v>44</v>
      </c>
      <c r="L50" t="s">
        <v>36</v>
      </c>
      <c r="M50" t="s">
        <v>32</v>
      </c>
      <c r="N50" t="s">
        <v>26</v>
      </c>
      <c r="O50" s="1">
        <v>45046</v>
      </c>
      <c r="P50" s="2">
        <f t="shared" si="1"/>
        <v>4</v>
      </c>
      <c r="Q50" s="2">
        <v>2349.63</v>
      </c>
    </row>
    <row r="51" spans="1:17" x14ac:dyDescent="0.25">
      <c r="A51" t="s">
        <v>47</v>
      </c>
      <c r="B51" t="s">
        <v>18</v>
      </c>
      <c r="C51" s="1">
        <v>24222</v>
      </c>
      <c r="D51" s="2">
        <f t="shared" ca="1" si="0"/>
        <v>59.524999999999999</v>
      </c>
      <c r="E51" t="s">
        <v>29</v>
      </c>
      <c r="F51" t="s">
        <v>54</v>
      </c>
      <c r="G51" t="s">
        <v>66</v>
      </c>
      <c r="H51" t="s">
        <v>67</v>
      </c>
      <c r="I51">
        <v>5</v>
      </c>
      <c r="J51" t="str" cm="1">
        <f t="array" ref="J51">_xlfn.IFS(I51&lt;=10,"0-10",I51&lt;=20,"11-20",I51&gt;20,"20+")</f>
        <v>0-10</v>
      </c>
      <c r="K51" t="s">
        <v>52</v>
      </c>
      <c r="L51" t="s">
        <v>36</v>
      </c>
      <c r="M51" t="s">
        <v>32</v>
      </c>
      <c r="N51" t="s">
        <v>26</v>
      </c>
      <c r="O51" s="1">
        <v>45154</v>
      </c>
      <c r="P51" s="2">
        <f t="shared" si="1"/>
        <v>8</v>
      </c>
      <c r="Q51" s="2">
        <v>4279.38</v>
      </c>
    </row>
    <row r="52" spans="1:17" x14ac:dyDescent="0.25">
      <c r="A52" t="s">
        <v>84</v>
      </c>
      <c r="B52" t="s">
        <v>18</v>
      </c>
      <c r="C52" s="1">
        <v>29637</v>
      </c>
      <c r="D52" s="2">
        <f t="shared" ca="1" si="0"/>
        <v>44.705555555555556</v>
      </c>
      <c r="E52" t="s">
        <v>39</v>
      </c>
      <c r="F52" t="s">
        <v>40</v>
      </c>
      <c r="G52" t="s">
        <v>41</v>
      </c>
      <c r="H52" t="s">
        <v>22</v>
      </c>
      <c r="I52">
        <v>23</v>
      </c>
      <c r="J52" t="str" cm="1">
        <f t="array" ref="J52">_xlfn.IFS(I52&lt;=10,"0-10",I52&lt;=20,"11-20",I52&gt;20,"20+")</f>
        <v>20+</v>
      </c>
      <c r="K52" t="s">
        <v>23</v>
      </c>
      <c r="L52" t="s">
        <v>48</v>
      </c>
      <c r="M52" t="s">
        <v>60</v>
      </c>
      <c r="N52" t="s">
        <v>46</v>
      </c>
      <c r="O52" s="1">
        <v>44961</v>
      </c>
      <c r="P52" s="2">
        <f t="shared" si="1"/>
        <v>2</v>
      </c>
      <c r="Q52" s="2">
        <v>4550.1000000000004</v>
      </c>
    </row>
    <row r="53" spans="1:17" x14ac:dyDescent="0.25">
      <c r="A53" t="s">
        <v>53</v>
      </c>
      <c r="B53" t="s">
        <v>28</v>
      </c>
      <c r="C53" s="1">
        <v>36729</v>
      </c>
      <c r="D53" s="2">
        <f t="shared" ca="1" si="0"/>
        <v>25.283333333333335</v>
      </c>
      <c r="E53" t="s">
        <v>35</v>
      </c>
      <c r="F53" t="s">
        <v>54</v>
      </c>
      <c r="G53" t="s">
        <v>66</v>
      </c>
      <c r="H53" t="s">
        <v>67</v>
      </c>
      <c r="I53">
        <v>5</v>
      </c>
      <c r="J53" t="str" cm="1">
        <f t="array" ref="J53">_xlfn.IFS(I53&lt;=10,"0-10",I53&lt;=20,"11-20",I53&gt;20,"20+")</f>
        <v>0-10</v>
      </c>
      <c r="K53" t="s">
        <v>52</v>
      </c>
      <c r="L53" t="s">
        <v>24</v>
      </c>
      <c r="M53" t="s">
        <v>32</v>
      </c>
      <c r="N53" t="s">
        <v>46</v>
      </c>
      <c r="O53" s="1">
        <v>45119</v>
      </c>
      <c r="P53" s="2">
        <f t="shared" si="1"/>
        <v>7</v>
      </c>
      <c r="Q53" s="2">
        <v>2090.4</v>
      </c>
    </row>
    <row r="54" spans="1:17" x14ac:dyDescent="0.25">
      <c r="A54" t="s">
        <v>85</v>
      </c>
      <c r="B54" t="s">
        <v>18</v>
      </c>
      <c r="C54" s="1">
        <v>33546</v>
      </c>
      <c r="D54" s="2">
        <f t="shared" ca="1" si="0"/>
        <v>34</v>
      </c>
      <c r="E54" t="s">
        <v>19</v>
      </c>
      <c r="F54" t="s">
        <v>20</v>
      </c>
      <c r="G54" t="s">
        <v>69</v>
      </c>
      <c r="H54" t="s">
        <v>67</v>
      </c>
      <c r="I54">
        <v>4</v>
      </c>
      <c r="J54" t="str" cm="1">
        <f t="array" ref="J54">_xlfn.IFS(I54&lt;=10,"0-10",I54&lt;=20,"11-20",I54&gt;20,"20+")</f>
        <v>0-10</v>
      </c>
      <c r="K54" t="s">
        <v>23</v>
      </c>
      <c r="L54" t="s">
        <v>48</v>
      </c>
      <c r="M54" t="s">
        <v>37</v>
      </c>
      <c r="N54" t="s">
        <v>26</v>
      </c>
      <c r="O54" s="1">
        <v>44969</v>
      </c>
      <c r="P54" s="2">
        <f t="shared" si="1"/>
        <v>2</v>
      </c>
      <c r="Q54" s="2">
        <v>1565.92</v>
      </c>
    </row>
    <row r="55" spans="1:17" x14ac:dyDescent="0.25">
      <c r="A55" t="s">
        <v>53</v>
      </c>
      <c r="B55" t="s">
        <v>28</v>
      </c>
      <c r="C55" s="1">
        <v>36729</v>
      </c>
      <c r="D55" s="2">
        <f t="shared" ca="1" si="0"/>
        <v>25.283333333333335</v>
      </c>
      <c r="E55" t="s">
        <v>35</v>
      </c>
      <c r="F55" t="s">
        <v>54</v>
      </c>
      <c r="G55" t="s">
        <v>66</v>
      </c>
      <c r="H55" t="s">
        <v>67</v>
      </c>
      <c r="I55">
        <v>5</v>
      </c>
      <c r="J55" t="str" cm="1">
        <f t="array" ref="J55">_xlfn.IFS(I55&lt;=10,"0-10",I55&lt;=20,"11-20",I55&gt;20,"20+")</f>
        <v>0-10</v>
      </c>
      <c r="K55" t="s">
        <v>52</v>
      </c>
      <c r="L55" t="s">
        <v>58</v>
      </c>
      <c r="M55" t="s">
        <v>25</v>
      </c>
      <c r="N55" t="s">
        <v>56</v>
      </c>
      <c r="O55" s="1">
        <v>45276</v>
      </c>
      <c r="P55" s="2">
        <f t="shared" si="1"/>
        <v>12</v>
      </c>
      <c r="Q55" s="2">
        <v>4012.36</v>
      </c>
    </row>
    <row r="56" spans="1:17" x14ac:dyDescent="0.25">
      <c r="A56" t="s">
        <v>86</v>
      </c>
      <c r="B56" t="s">
        <v>18</v>
      </c>
      <c r="C56" s="1">
        <v>30967</v>
      </c>
      <c r="D56" s="2">
        <f t="shared" ca="1" si="0"/>
        <v>41.06111111111111</v>
      </c>
      <c r="E56" t="s">
        <v>35</v>
      </c>
      <c r="F56" t="s">
        <v>54</v>
      </c>
      <c r="G56" t="s">
        <v>55</v>
      </c>
      <c r="H56" t="s">
        <v>51</v>
      </c>
      <c r="I56">
        <v>2</v>
      </c>
      <c r="J56" t="str" cm="1">
        <f t="array" ref="J56">_xlfn.IFS(I56&lt;=10,"0-10",I56&lt;=20,"11-20",I56&gt;20,"20+")</f>
        <v>0-10</v>
      </c>
      <c r="K56" t="s">
        <v>44</v>
      </c>
      <c r="L56" t="s">
        <v>48</v>
      </c>
      <c r="M56" t="s">
        <v>25</v>
      </c>
      <c r="N56" t="s">
        <v>56</v>
      </c>
      <c r="O56" s="1">
        <v>45205</v>
      </c>
      <c r="P56" s="2">
        <f t="shared" si="1"/>
        <v>10</v>
      </c>
      <c r="Q56" s="2">
        <v>1736.63</v>
      </c>
    </row>
    <row r="57" spans="1:17" x14ac:dyDescent="0.25">
      <c r="A57" t="s">
        <v>74</v>
      </c>
      <c r="B57" t="s">
        <v>28</v>
      </c>
      <c r="C57" s="1">
        <v>26629</v>
      </c>
      <c r="D57" s="2">
        <f t="shared" ca="1" si="0"/>
        <v>52.93888888888889</v>
      </c>
      <c r="E57" t="s">
        <v>29</v>
      </c>
      <c r="F57" t="s">
        <v>30</v>
      </c>
      <c r="G57" t="s">
        <v>31</v>
      </c>
      <c r="H57" t="s">
        <v>22</v>
      </c>
      <c r="I57">
        <v>28</v>
      </c>
      <c r="J57" t="str" cm="1">
        <f t="array" ref="J57">_xlfn.IFS(I57&lt;=10,"0-10",I57&lt;=20,"11-20",I57&gt;20,"20+")</f>
        <v>20+</v>
      </c>
      <c r="K57" t="s">
        <v>23</v>
      </c>
      <c r="L57" t="s">
        <v>48</v>
      </c>
      <c r="M57" t="s">
        <v>25</v>
      </c>
      <c r="N57" t="s">
        <v>70</v>
      </c>
      <c r="O57" s="1">
        <v>44928</v>
      </c>
      <c r="P57" s="2">
        <f t="shared" si="1"/>
        <v>1</v>
      </c>
      <c r="Q57" s="2">
        <v>4201.76</v>
      </c>
    </row>
    <row r="58" spans="1:17" x14ac:dyDescent="0.25">
      <c r="A58" t="s">
        <v>72</v>
      </c>
      <c r="B58" t="s">
        <v>28</v>
      </c>
      <c r="C58" s="1">
        <v>34072</v>
      </c>
      <c r="D58" s="2">
        <f t="shared" ca="1" si="0"/>
        <v>32.55833333333333</v>
      </c>
      <c r="E58" t="s">
        <v>29</v>
      </c>
      <c r="F58" t="s">
        <v>54</v>
      </c>
      <c r="G58" t="s">
        <v>55</v>
      </c>
      <c r="H58" t="s">
        <v>51</v>
      </c>
      <c r="I58">
        <v>2</v>
      </c>
      <c r="J58" t="str" cm="1">
        <f t="array" ref="J58">_xlfn.IFS(I58&lt;=10,"0-10",I58&lt;=20,"11-20",I58&gt;20,"20+")</f>
        <v>0-10</v>
      </c>
      <c r="K58" t="s">
        <v>44</v>
      </c>
      <c r="L58" t="s">
        <v>45</v>
      </c>
      <c r="M58" t="s">
        <v>60</v>
      </c>
      <c r="N58" t="s">
        <v>33</v>
      </c>
      <c r="O58" s="1">
        <v>45031</v>
      </c>
      <c r="P58" s="2">
        <f t="shared" si="1"/>
        <v>4</v>
      </c>
      <c r="Q58" s="2">
        <v>2406.8200000000002</v>
      </c>
    </row>
    <row r="59" spans="1:17" x14ac:dyDescent="0.25">
      <c r="A59" t="s">
        <v>27</v>
      </c>
      <c r="B59" t="s">
        <v>28</v>
      </c>
      <c r="C59" s="1">
        <v>29594</v>
      </c>
      <c r="D59" s="2">
        <f t="shared" ca="1" si="0"/>
        <v>44.822222222222223</v>
      </c>
      <c r="E59" t="s">
        <v>29</v>
      </c>
      <c r="F59" t="s">
        <v>54</v>
      </c>
      <c r="G59" t="s">
        <v>66</v>
      </c>
      <c r="H59" t="s">
        <v>67</v>
      </c>
      <c r="I59">
        <v>5</v>
      </c>
      <c r="J59" t="str" cm="1">
        <f t="array" ref="J59">_xlfn.IFS(I59&lt;=10,"0-10",I59&lt;=20,"11-20",I59&gt;20,"20+")</f>
        <v>0-10</v>
      </c>
      <c r="K59" t="s">
        <v>52</v>
      </c>
      <c r="L59" t="s">
        <v>36</v>
      </c>
      <c r="M59" t="s">
        <v>32</v>
      </c>
      <c r="N59" t="s">
        <v>56</v>
      </c>
      <c r="O59" s="1">
        <v>45055</v>
      </c>
      <c r="P59" s="2">
        <f t="shared" si="1"/>
        <v>5</v>
      </c>
      <c r="Q59" s="2">
        <v>3503.97</v>
      </c>
    </row>
    <row r="60" spans="1:17" x14ac:dyDescent="0.25">
      <c r="A60" t="s">
        <v>87</v>
      </c>
      <c r="B60" t="s">
        <v>18</v>
      </c>
      <c r="C60" s="1">
        <v>35975</v>
      </c>
      <c r="D60" s="2">
        <f t="shared" ca="1" si="0"/>
        <v>27.347222222222221</v>
      </c>
      <c r="E60" t="s">
        <v>39</v>
      </c>
      <c r="F60" t="s">
        <v>54</v>
      </c>
      <c r="G60" t="s">
        <v>55</v>
      </c>
      <c r="H60" t="s">
        <v>51</v>
      </c>
      <c r="I60">
        <v>2</v>
      </c>
      <c r="J60" t="str" cm="1">
        <f t="array" ref="J60">_xlfn.IFS(I60&lt;=10,"0-10",I60&lt;=20,"11-20",I60&gt;20,"20+")</f>
        <v>0-10</v>
      </c>
      <c r="K60" t="s">
        <v>44</v>
      </c>
      <c r="L60" t="s">
        <v>24</v>
      </c>
      <c r="M60" t="s">
        <v>37</v>
      </c>
      <c r="N60" t="s">
        <v>46</v>
      </c>
      <c r="O60" s="1">
        <v>44994</v>
      </c>
      <c r="P60" s="2">
        <f t="shared" si="1"/>
        <v>3</v>
      </c>
      <c r="Q60" s="2">
        <v>929.91</v>
      </c>
    </row>
    <row r="61" spans="1:17" x14ac:dyDescent="0.25">
      <c r="A61" t="s">
        <v>88</v>
      </c>
      <c r="B61" t="s">
        <v>18</v>
      </c>
      <c r="C61" s="1">
        <v>37778</v>
      </c>
      <c r="D61" s="2">
        <f t="shared" ca="1" si="0"/>
        <v>22.411111111111111</v>
      </c>
      <c r="E61" t="s">
        <v>29</v>
      </c>
      <c r="F61" t="s">
        <v>43</v>
      </c>
      <c r="G61" t="s">
        <v>41</v>
      </c>
      <c r="H61" t="s">
        <v>22</v>
      </c>
      <c r="I61">
        <v>24</v>
      </c>
      <c r="J61" t="str" cm="1">
        <f t="array" ref="J61">_xlfn.IFS(I61&lt;=10,"0-10",I61&lt;=20,"11-20",I61&gt;20,"20+")</f>
        <v>20+</v>
      </c>
      <c r="K61" t="s">
        <v>44</v>
      </c>
      <c r="L61" t="s">
        <v>48</v>
      </c>
      <c r="M61" t="s">
        <v>32</v>
      </c>
      <c r="N61" t="s">
        <v>56</v>
      </c>
      <c r="O61" s="1">
        <v>45252</v>
      </c>
      <c r="P61" s="2">
        <f t="shared" si="1"/>
        <v>11</v>
      </c>
      <c r="Q61" s="2">
        <v>3307.37</v>
      </c>
    </row>
    <row r="62" spans="1:17" x14ac:dyDescent="0.25">
      <c r="A62" t="s">
        <v>85</v>
      </c>
      <c r="B62" t="s">
        <v>18</v>
      </c>
      <c r="C62" s="1">
        <v>33546</v>
      </c>
      <c r="D62" s="2">
        <f t="shared" ca="1" si="0"/>
        <v>34</v>
      </c>
      <c r="E62" t="s">
        <v>19</v>
      </c>
      <c r="F62" t="s">
        <v>20</v>
      </c>
      <c r="G62" t="s">
        <v>69</v>
      </c>
      <c r="H62" t="s">
        <v>67</v>
      </c>
      <c r="I62">
        <v>4</v>
      </c>
      <c r="J62" t="str" cm="1">
        <f t="array" ref="J62">_xlfn.IFS(I62&lt;=10,"0-10",I62&lt;=20,"11-20",I62&gt;20,"20+")</f>
        <v>0-10</v>
      </c>
      <c r="K62" t="s">
        <v>23</v>
      </c>
      <c r="L62" t="s">
        <v>24</v>
      </c>
      <c r="M62" t="s">
        <v>32</v>
      </c>
      <c r="N62" t="s">
        <v>70</v>
      </c>
      <c r="O62" s="1">
        <v>44941</v>
      </c>
      <c r="P62" s="2">
        <f t="shared" si="1"/>
        <v>1</v>
      </c>
      <c r="Q62" s="2">
        <v>2532.9499999999998</v>
      </c>
    </row>
    <row r="63" spans="1:17" x14ac:dyDescent="0.25">
      <c r="A63" t="s">
        <v>64</v>
      </c>
      <c r="B63" t="s">
        <v>18</v>
      </c>
      <c r="C63" s="1">
        <v>33580</v>
      </c>
      <c r="D63" s="2">
        <f t="shared" ca="1" si="0"/>
        <v>33.905555555555559</v>
      </c>
      <c r="E63" t="s">
        <v>29</v>
      </c>
      <c r="F63" t="s">
        <v>20</v>
      </c>
      <c r="G63" t="s">
        <v>21</v>
      </c>
      <c r="H63" t="s">
        <v>22</v>
      </c>
      <c r="I63">
        <v>4</v>
      </c>
      <c r="J63" t="str" cm="1">
        <f t="array" ref="J63">_xlfn.IFS(I63&lt;=10,"0-10",I63&lt;=20,"11-20",I63&gt;20,"20+")</f>
        <v>0-10</v>
      </c>
      <c r="K63" t="s">
        <v>23</v>
      </c>
      <c r="L63" t="s">
        <v>48</v>
      </c>
      <c r="M63" t="s">
        <v>32</v>
      </c>
      <c r="N63" t="s">
        <v>70</v>
      </c>
      <c r="O63" s="1">
        <v>45091</v>
      </c>
      <c r="P63" s="2">
        <f t="shared" si="1"/>
        <v>6</v>
      </c>
      <c r="Q63" s="2">
        <v>3139.74</v>
      </c>
    </row>
    <row r="64" spans="1:17" x14ac:dyDescent="0.25">
      <c r="A64" t="s">
        <v>89</v>
      </c>
      <c r="B64" t="s">
        <v>28</v>
      </c>
      <c r="C64" s="1">
        <v>34330</v>
      </c>
      <c r="D64" s="2">
        <f t="shared" ca="1" si="0"/>
        <v>31.852777777777778</v>
      </c>
      <c r="E64" t="s">
        <v>19</v>
      </c>
      <c r="F64" t="s">
        <v>30</v>
      </c>
      <c r="G64" t="s">
        <v>31</v>
      </c>
      <c r="H64" t="s">
        <v>22</v>
      </c>
      <c r="I64">
        <v>28</v>
      </c>
      <c r="J64" t="str" cm="1">
        <f t="array" ref="J64">_xlfn.IFS(I64&lt;=10,"0-10",I64&lt;=20,"11-20",I64&gt;20,"20+")</f>
        <v>20+</v>
      </c>
      <c r="K64" t="s">
        <v>23</v>
      </c>
      <c r="L64" t="s">
        <v>58</v>
      </c>
      <c r="M64" t="s">
        <v>25</v>
      </c>
      <c r="N64" t="s">
        <v>33</v>
      </c>
      <c r="O64" s="1">
        <v>45106</v>
      </c>
      <c r="P64" s="2">
        <f t="shared" si="1"/>
        <v>6</v>
      </c>
      <c r="Q64" s="2">
        <v>1256.06</v>
      </c>
    </row>
    <row r="65" spans="1:17" x14ac:dyDescent="0.25">
      <c r="A65" t="s">
        <v>90</v>
      </c>
      <c r="B65" t="s">
        <v>18</v>
      </c>
      <c r="C65" s="1">
        <v>34072</v>
      </c>
      <c r="D65" s="2">
        <f t="shared" ca="1" si="0"/>
        <v>32.55833333333333</v>
      </c>
      <c r="E65" t="s">
        <v>29</v>
      </c>
      <c r="F65" t="s">
        <v>40</v>
      </c>
      <c r="G65" t="s">
        <v>41</v>
      </c>
      <c r="H65" t="s">
        <v>22</v>
      </c>
      <c r="I65">
        <v>23</v>
      </c>
      <c r="J65" t="str" cm="1">
        <f t="array" ref="J65">_xlfn.IFS(I65&lt;=10,"0-10",I65&lt;=20,"11-20",I65&gt;20,"20+")</f>
        <v>20+</v>
      </c>
      <c r="K65" t="s">
        <v>23</v>
      </c>
      <c r="L65" t="s">
        <v>48</v>
      </c>
      <c r="M65" t="s">
        <v>37</v>
      </c>
      <c r="N65" t="s">
        <v>56</v>
      </c>
      <c r="O65" s="1">
        <v>45077</v>
      </c>
      <c r="P65" s="2">
        <f t="shared" si="1"/>
        <v>5</v>
      </c>
      <c r="Q65" s="2">
        <v>3815.93</v>
      </c>
    </row>
    <row r="66" spans="1:17" x14ac:dyDescent="0.25">
      <c r="A66" t="s">
        <v>79</v>
      </c>
      <c r="B66" t="s">
        <v>18</v>
      </c>
      <c r="C66" s="1">
        <v>25605</v>
      </c>
      <c r="D66" s="2">
        <f t="shared" ca="1" si="0"/>
        <v>55.744444444444447</v>
      </c>
      <c r="E66" t="s">
        <v>29</v>
      </c>
      <c r="F66" t="s">
        <v>30</v>
      </c>
      <c r="G66" t="s">
        <v>69</v>
      </c>
      <c r="H66" t="s">
        <v>67</v>
      </c>
      <c r="I66">
        <v>17</v>
      </c>
      <c r="J66" t="str" cm="1">
        <f t="array" ref="J66">_xlfn.IFS(I66&lt;=10,"0-10",I66&lt;=20,"11-20",I66&gt;20,"20+")</f>
        <v>11-20</v>
      </c>
      <c r="K66" t="s">
        <v>52</v>
      </c>
      <c r="L66" t="s">
        <v>45</v>
      </c>
      <c r="M66" t="s">
        <v>37</v>
      </c>
      <c r="N66" t="s">
        <v>46</v>
      </c>
      <c r="O66" s="1">
        <v>45040</v>
      </c>
      <c r="P66" s="2">
        <f t="shared" si="1"/>
        <v>4</v>
      </c>
      <c r="Q66" s="2">
        <v>4382.59</v>
      </c>
    </row>
    <row r="67" spans="1:17" x14ac:dyDescent="0.25">
      <c r="A67" t="s">
        <v>79</v>
      </c>
      <c r="B67" t="s">
        <v>18</v>
      </c>
      <c r="C67" s="1">
        <v>25605</v>
      </c>
      <c r="D67" s="2">
        <f t="shared" ref="D67:D130" ca="1" si="2">YEARFRAC(C67,TODAY(),)</f>
        <v>55.744444444444447</v>
      </c>
      <c r="E67" t="s">
        <v>29</v>
      </c>
      <c r="F67" t="s">
        <v>20</v>
      </c>
      <c r="G67" t="s">
        <v>21</v>
      </c>
      <c r="H67" t="s">
        <v>22</v>
      </c>
      <c r="I67">
        <v>4</v>
      </c>
      <c r="J67" t="str" cm="1">
        <f t="array" ref="J67">_xlfn.IFS(I67&lt;=10,"0-10",I67&lt;=20,"11-20",I67&gt;20,"20+")</f>
        <v>0-10</v>
      </c>
      <c r="K67" t="s">
        <v>23</v>
      </c>
      <c r="L67" t="s">
        <v>36</v>
      </c>
      <c r="M67" t="s">
        <v>32</v>
      </c>
      <c r="N67" t="s">
        <v>46</v>
      </c>
      <c r="O67" s="1">
        <v>45056</v>
      </c>
      <c r="P67" s="2">
        <f t="shared" ref="P67:P130" si="3">MONTH(O67)</f>
        <v>5</v>
      </c>
      <c r="Q67" s="2">
        <v>1475.33</v>
      </c>
    </row>
    <row r="68" spans="1:17" x14ac:dyDescent="0.25">
      <c r="A68" t="s">
        <v>91</v>
      </c>
      <c r="B68" t="s">
        <v>28</v>
      </c>
      <c r="C68" s="1">
        <v>29305</v>
      </c>
      <c r="D68" s="2">
        <f t="shared" ca="1" si="2"/>
        <v>45.608333333333334</v>
      </c>
      <c r="E68" t="s">
        <v>19</v>
      </c>
      <c r="F68" t="s">
        <v>30</v>
      </c>
      <c r="G68" t="s">
        <v>69</v>
      </c>
      <c r="H68" t="s">
        <v>67</v>
      </c>
      <c r="I68">
        <v>17</v>
      </c>
      <c r="J68" t="str" cm="1">
        <f t="array" ref="J68">_xlfn.IFS(I68&lt;=10,"0-10",I68&lt;=20,"11-20",I68&gt;20,"20+")</f>
        <v>11-20</v>
      </c>
      <c r="K68" t="s">
        <v>52</v>
      </c>
      <c r="L68" t="s">
        <v>58</v>
      </c>
      <c r="M68" t="s">
        <v>25</v>
      </c>
      <c r="N68" t="s">
        <v>26</v>
      </c>
      <c r="O68" s="1">
        <v>45148</v>
      </c>
      <c r="P68" s="2">
        <f t="shared" si="3"/>
        <v>8</v>
      </c>
      <c r="Q68" s="2">
        <v>930.72</v>
      </c>
    </row>
    <row r="69" spans="1:17" x14ac:dyDescent="0.25">
      <c r="A69" t="s">
        <v>68</v>
      </c>
      <c r="B69" t="s">
        <v>28</v>
      </c>
      <c r="C69" s="1">
        <v>36196</v>
      </c>
      <c r="D69" s="2">
        <f t="shared" ca="1" si="2"/>
        <v>26.747222222222224</v>
      </c>
      <c r="E69" t="s">
        <v>39</v>
      </c>
      <c r="F69" t="s">
        <v>20</v>
      </c>
      <c r="G69" t="s">
        <v>69</v>
      </c>
      <c r="H69" t="s">
        <v>67</v>
      </c>
      <c r="I69">
        <v>4</v>
      </c>
      <c r="J69" t="str" cm="1">
        <f t="array" ref="J69">_xlfn.IFS(I69&lt;=10,"0-10",I69&lt;=20,"11-20",I69&gt;20,"20+")</f>
        <v>0-10</v>
      </c>
      <c r="K69" t="s">
        <v>23</v>
      </c>
      <c r="L69" t="s">
        <v>48</v>
      </c>
      <c r="M69" t="s">
        <v>25</v>
      </c>
      <c r="N69" t="s">
        <v>46</v>
      </c>
      <c r="O69" s="1">
        <v>44999</v>
      </c>
      <c r="P69" s="2">
        <f t="shared" si="3"/>
        <v>3</v>
      </c>
      <c r="Q69" s="2">
        <v>606.37</v>
      </c>
    </row>
    <row r="70" spans="1:17" x14ac:dyDescent="0.25">
      <c r="A70" t="s">
        <v>64</v>
      </c>
      <c r="B70" t="s">
        <v>18</v>
      </c>
      <c r="C70" s="1">
        <v>33580</v>
      </c>
      <c r="D70" s="2">
        <f t="shared" ca="1" si="2"/>
        <v>33.905555555555559</v>
      </c>
      <c r="E70" t="s">
        <v>29</v>
      </c>
      <c r="F70" t="s">
        <v>30</v>
      </c>
      <c r="G70" t="s">
        <v>31</v>
      </c>
      <c r="H70" t="s">
        <v>22</v>
      </c>
      <c r="I70">
        <v>28</v>
      </c>
      <c r="J70" t="str" cm="1">
        <f t="array" ref="J70">_xlfn.IFS(I70&lt;=10,"0-10",I70&lt;=20,"11-20",I70&gt;20,"20+")</f>
        <v>20+</v>
      </c>
      <c r="K70" t="s">
        <v>23</v>
      </c>
      <c r="L70" t="s">
        <v>24</v>
      </c>
      <c r="M70" t="s">
        <v>37</v>
      </c>
      <c r="N70" t="s">
        <v>33</v>
      </c>
      <c r="O70" s="1">
        <v>45014</v>
      </c>
      <c r="P70" s="2">
        <f t="shared" si="3"/>
        <v>3</v>
      </c>
      <c r="Q70" s="2">
        <v>3388.87</v>
      </c>
    </row>
    <row r="71" spans="1:17" x14ac:dyDescent="0.25">
      <c r="A71" t="s">
        <v>63</v>
      </c>
      <c r="B71" t="s">
        <v>28</v>
      </c>
      <c r="C71" s="1">
        <v>28358</v>
      </c>
      <c r="D71" s="2">
        <f t="shared" ca="1" si="2"/>
        <v>48.202777777777776</v>
      </c>
      <c r="E71" t="s">
        <v>35</v>
      </c>
      <c r="F71" t="s">
        <v>43</v>
      </c>
      <c r="G71" t="s">
        <v>21</v>
      </c>
      <c r="H71" t="s">
        <v>22</v>
      </c>
      <c r="I71">
        <v>19</v>
      </c>
      <c r="J71" t="str" cm="1">
        <f t="array" ref="J71">_xlfn.IFS(I71&lt;=10,"0-10",I71&lt;=20,"11-20",I71&gt;20,"20+")</f>
        <v>11-20</v>
      </c>
      <c r="K71" t="s">
        <v>44</v>
      </c>
      <c r="L71" t="s">
        <v>58</v>
      </c>
      <c r="M71" t="s">
        <v>25</v>
      </c>
      <c r="N71" t="s">
        <v>33</v>
      </c>
      <c r="O71" s="1">
        <v>45164</v>
      </c>
      <c r="P71" s="2">
        <f t="shared" si="3"/>
        <v>8</v>
      </c>
      <c r="Q71" s="2">
        <v>3231.92</v>
      </c>
    </row>
    <row r="72" spans="1:17" x14ac:dyDescent="0.25">
      <c r="A72" t="s">
        <v>49</v>
      </c>
      <c r="B72" t="s">
        <v>18</v>
      </c>
      <c r="C72" s="1">
        <v>20244</v>
      </c>
      <c r="D72" s="2">
        <f t="shared" ca="1" si="2"/>
        <v>70.416666666666671</v>
      </c>
      <c r="E72" t="s">
        <v>19</v>
      </c>
      <c r="F72" t="s">
        <v>40</v>
      </c>
      <c r="G72" t="s">
        <v>41</v>
      </c>
      <c r="H72" t="s">
        <v>22</v>
      </c>
      <c r="I72">
        <v>23</v>
      </c>
      <c r="J72" t="str" cm="1">
        <f t="array" ref="J72">_xlfn.IFS(I72&lt;=10,"0-10",I72&lt;=20,"11-20",I72&gt;20,"20+")</f>
        <v>20+</v>
      </c>
      <c r="K72" t="s">
        <v>23</v>
      </c>
      <c r="L72" t="s">
        <v>58</v>
      </c>
      <c r="M72" t="s">
        <v>25</v>
      </c>
      <c r="N72" t="s">
        <v>46</v>
      </c>
      <c r="O72" s="1">
        <v>44952</v>
      </c>
      <c r="P72" s="2">
        <f t="shared" si="3"/>
        <v>1</v>
      </c>
      <c r="Q72" s="2">
        <v>2960.14</v>
      </c>
    </row>
    <row r="73" spans="1:17" x14ac:dyDescent="0.25">
      <c r="A73" t="s">
        <v>79</v>
      </c>
      <c r="B73" t="s">
        <v>18</v>
      </c>
      <c r="C73" s="1">
        <v>25605</v>
      </c>
      <c r="D73" s="2">
        <f t="shared" ca="1" si="2"/>
        <v>55.744444444444447</v>
      </c>
      <c r="E73" t="s">
        <v>29</v>
      </c>
      <c r="F73" t="s">
        <v>43</v>
      </c>
      <c r="G73" t="s">
        <v>41</v>
      </c>
      <c r="H73" t="s">
        <v>22</v>
      </c>
      <c r="I73">
        <v>24</v>
      </c>
      <c r="J73" t="str" cm="1">
        <f t="array" ref="J73">_xlfn.IFS(I73&lt;=10,"0-10",I73&lt;=20,"11-20",I73&gt;20,"20+")</f>
        <v>20+</v>
      </c>
      <c r="K73" t="s">
        <v>44</v>
      </c>
      <c r="L73" t="s">
        <v>48</v>
      </c>
      <c r="M73" t="s">
        <v>25</v>
      </c>
      <c r="N73" t="s">
        <v>46</v>
      </c>
      <c r="O73" s="1">
        <v>45089</v>
      </c>
      <c r="P73" s="2">
        <f t="shared" si="3"/>
        <v>6</v>
      </c>
      <c r="Q73" s="2">
        <v>1543.76</v>
      </c>
    </row>
    <row r="74" spans="1:17" x14ac:dyDescent="0.25">
      <c r="A74" t="s">
        <v>42</v>
      </c>
      <c r="B74" t="s">
        <v>28</v>
      </c>
      <c r="C74" s="1">
        <v>26449</v>
      </c>
      <c r="D74" s="2">
        <f t="shared" ca="1" si="2"/>
        <v>53.427777777777777</v>
      </c>
      <c r="E74" t="s">
        <v>35</v>
      </c>
      <c r="F74" t="s">
        <v>43</v>
      </c>
      <c r="G74" t="s">
        <v>21</v>
      </c>
      <c r="H74" t="s">
        <v>22</v>
      </c>
      <c r="I74">
        <v>19</v>
      </c>
      <c r="J74" t="str" cm="1">
        <f t="array" ref="J74">_xlfn.IFS(I74&lt;=10,"0-10",I74&lt;=20,"11-20",I74&gt;20,"20+")</f>
        <v>11-20</v>
      </c>
      <c r="K74" t="s">
        <v>44</v>
      </c>
      <c r="L74" t="s">
        <v>58</v>
      </c>
      <c r="M74" t="s">
        <v>60</v>
      </c>
      <c r="N74" t="s">
        <v>26</v>
      </c>
      <c r="O74" s="1">
        <v>45284</v>
      </c>
      <c r="P74" s="2">
        <f t="shared" si="3"/>
        <v>12</v>
      </c>
      <c r="Q74" s="2">
        <v>2259.08</v>
      </c>
    </row>
    <row r="75" spans="1:17" x14ac:dyDescent="0.25">
      <c r="A75" t="s">
        <v>81</v>
      </c>
      <c r="B75" t="s">
        <v>28</v>
      </c>
      <c r="C75" s="1">
        <v>37177</v>
      </c>
      <c r="D75" s="2">
        <f t="shared" ca="1" si="2"/>
        <v>24.058333333333334</v>
      </c>
      <c r="E75" t="s">
        <v>19</v>
      </c>
      <c r="F75" t="s">
        <v>20</v>
      </c>
      <c r="G75" t="s">
        <v>69</v>
      </c>
      <c r="H75" t="s">
        <v>67</v>
      </c>
      <c r="I75">
        <v>4</v>
      </c>
      <c r="J75" t="str" cm="1">
        <f t="array" ref="J75">_xlfn.IFS(I75&lt;=10,"0-10",I75&lt;=20,"11-20",I75&gt;20,"20+")</f>
        <v>0-10</v>
      </c>
      <c r="K75" t="s">
        <v>23</v>
      </c>
      <c r="L75" t="s">
        <v>24</v>
      </c>
      <c r="M75" t="s">
        <v>32</v>
      </c>
      <c r="N75" t="s">
        <v>46</v>
      </c>
      <c r="O75" s="1">
        <v>45130</v>
      </c>
      <c r="P75" s="2">
        <f t="shared" si="3"/>
        <v>7</v>
      </c>
      <c r="Q75" s="2">
        <v>3175.14</v>
      </c>
    </row>
    <row r="76" spans="1:17" x14ac:dyDescent="0.25">
      <c r="A76" t="s">
        <v>91</v>
      </c>
      <c r="B76" t="s">
        <v>28</v>
      </c>
      <c r="C76" s="1">
        <v>29305</v>
      </c>
      <c r="D76" s="2">
        <f t="shared" ca="1" si="2"/>
        <v>45.608333333333334</v>
      </c>
      <c r="E76" t="s">
        <v>19</v>
      </c>
      <c r="F76" t="s">
        <v>20</v>
      </c>
      <c r="G76" t="s">
        <v>21</v>
      </c>
      <c r="H76" t="s">
        <v>22</v>
      </c>
      <c r="I76">
        <v>4</v>
      </c>
      <c r="J76" t="str" cm="1">
        <f t="array" ref="J76">_xlfn.IFS(I76&lt;=10,"0-10",I76&lt;=20,"11-20",I76&gt;20,"20+")</f>
        <v>0-10</v>
      </c>
      <c r="K76" t="s">
        <v>23</v>
      </c>
      <c r="L76" t="s">
        <v>58</v>
      </c>
      <c r="M76" t="s">
        <v>37</v>
      </c>
      <c r="N76" t="s">
        <v>26</v>
      </c>
      <c r="O76" s="1">
        <v>45054</v>
      </c>
      <c r="P76" s="2">
        <f t="shared" si="3"/>
        <v>5</v>
      </c>
      <c r="Q76" s="2">
        <v>2735.45</v>
      </c>
    </row>
    <row r="77" spans="1:17" x14ac:dyDescent="0.25">
      <c r="A77" t="s">
        <v>92</v>
      </c>
      <c r="B77" t="s">
        <v>18</v>
      </c>
      <c r="C77" s="1">
        <v>27830</v>
      </c>
      <c r="D77" s="2">
        <f t="shared" ca="1" si="2"/>
        <v>49.647222222222226</v>
      </c>
      <c r="E77" t="s">
        <v>35</v>
      </c>
      <c r="F77" t="s">
        <v>43</v>
      </c>
      <c r="G77" t="s">
        <v>41</v>
      </c>
      <c r="H77" t="s">
        <v>22</v>
      </c>
      <c r="I77">
        <v>24</v>
      </c>
      <c r="J77" t="str" cm="1">
        <f t="array" ref="J77">_xlfn.IFS(I77&lt;=10,"0-10",I77&lt;=20,"11-20",I77&gt;20,"20+")</f>
        <v>20+</v>
      </c>
      <c r="K77" t="s">
        <v>44</v>
      </c>
      <c r="L77" t="s">
        <v>24</v>
      </c>
      <c r="M77" t="s">
        <v>37</v>
      </c>
      <c r="N77" t="s">
        <v>26</v>
      </c>
      <c r="O77" s="1">
        <v>45257</v>
      </c>
      <c r="P77" s="2">
        <f t="shared" si="3"/>
        <v>11</v>
      </c>
      <c r="Q77" s="2">
        <v>4945.03</v>
      </c>
    </row>
    <row r="78" spans="1:17" x14ac:dyDescent="0.25">
      <c r="A78" t="s">
        <v>62</v>
      </c>
      <c r="B78" t="s">
        <v>28</v>
      </c>
      <c r="C78" s="1">
        <v>38487</v>
      </c>
      <c r="D78" s="2">
        <f t="shared" ca="1" si="2"/>
        <v>20.469444444444445</v>
      </c>
      <c r="E78" t="s">
        <v>39</v>
      </c>
      <c r="F78" t="s">
        <v>54</v>
      </c>
      <c r="G78" t="s">
        <v>55</v>
      </c>
      <c r="H78" t="s">
        <v>51</v>
      </c>
      <c r="I78">
        <v>2</v>
      </c>
      <c r="J78" t="str" cm="1">
        <f t="array" ref="J78">_xlfn.IFS(I78&lt;=10,"0-10",I78&lt;=20,"11-20",I78&gt;20,"20+")</f>
        <v>0-10</v>
      </c>
      <c r="K78" t="s">
        <v>44</v>
      </c>
      <c r="L78" t="s">
        <v>48</v>
      </c>
      <c r="M78" t="s">
        <v>60</v>
      </c>
      <c r="N78" t="s">
        <v>46</v>
      </c>
      <c r="O78" s="1">
        <v>45274</v>
      </c>
      <c r="P78" s="2">
        <f t="shared" si="3"/>
        <v>12</v>
      </c>
      <c r="Q78" s="2">
        <v>1113.98</v>
      </c>
    </row>
    <row r="79" spans="1:17" x14ac:dyDescent="0.25">
      <c r="A79" t="s">
        <v>93</v>
      </c>
      <c r="B79" t="s">
        <v>18</v>
      </c>
      <c r="C79" s="1">
        <v>32960</v>
      </c>
      <c r="D79" s="2">
        <f t="shared" ca="1" si="2"/>
        <v>35.6</v>
      </c>
      <c r="E79" t="s">
        <v>19</v>
      </c>
      <c r="F79" t="s">
        <v>54</v>
      </c>
      <c r="G79" t="s">
        <v>66</v>
      </c>
      <c r="H79" t="s">
        <v>67</v>
      </c>
      <c r="I79">
        <v>5</v>
      </c>
      <c r="J79" t="str" cm="1">
        <f t="array" ref="J79">_xlfn.IFS(I79&lt;=10,"0-10",I79&lt;=20,"11-20",I79&gt;20,"20+")</f>
        <v>0-10</v>
      </c>
      <c r="K79" t="s">
        <v>52</v>
      </c>
      <c r="L79" t="s">
        <v>36</v>
      </c>
      <c r="M79" t="s">
        <v>32</v>
      </c>
      <c r="N79" t="s">
        <v>70</v>
      </c>
      <c r="O79" s="1">
        <v>45186</v>
      </c>
      <c r="P79" s="2">
        <f t="shared" si="3"/>
        <v>9</v>
      </c>
      <c r="Q79" s="2">
        <v>3628.15</v>
      </c>
    </row>
    <row r="80" spans="1:17" x14ac:dyDescent="0.25">
      <c r="A80" t="s">
        <v>64</v>
      </c>
      <c r="B80" t="s">
        <v>18</v>
      </c>
      <c r="C80" s="1">
        <v>33580</v>
      </c>
      <c r="D80" s="2">
        <f t="shared" ca="1" si="2"/>
        <v>33.905555555555559</v>
      </c>
      <c r="E80" t="s">
        <v>29</v>
      </c>
      <c r="F80" t="s">
        <v>43</v>
      </c>
      <c r="G80" t="s">
        <v>41</v>
      </c>
      <c r="H80" t="s">
        <v>22</v>
      </c>
      <c r="I80">
        <v>24</v>
      </c>
      <c r="J80" t="str" cm="1">
        <f t="array" ref="J80">_xlfn.IFS(I80&lt;=10,"0-10",I80&lt;=20,"11-20",I80&gt;20,"20+")</f>
        <v>20+</v>
      </c>
      <c r="K80" t="s">
        <v>44</v>
      </c>
      <c r="L80" t="s">
        <v>58</v>
      </c>
      <c r="M80" t="s">
        <v>37</v>
      </c>
      <c r="N80" t="s">
        <v>70</v>
      </c>
      <c r="O80" s="1">
        <v>45286</v>
      </c>
      <c r="P80" s="2">
        <f t="shared" si="3"/>
        <v>12</v>
      </c>
      <c r="Q80" s="2">
        <v>2319.4299999999998</v>
      </c>
    </row>
    <row r="81" spans="1:17" x14ac:dyDescent="0.25">
      <c r="A81" t="s">
        <v>82</v>
      </c>
      <c r="B81" t="s">
        <v>28</v>
      </c>
      <c r="C81" s="1">
        <v>31791</v>
      </c>
      <c r="D81" s="2">
        <f t="shared" ca="1" si="2"/>
        <v>38.805555555555557</v>
      </c>
      <c r="E81" t="s">
        <v>19</v>
      </c>
      <c r="F81" t="s">
        <v>20</v>
      </c>
      <c r="G81" t="s">
        <v>69</v>
      </c>
      <c r="H81" t="s">
        <v>67</v>
      </c>
      <c r="I81">
        <v>4</v>
      </c>
      <c r="J81" t="str" cm="1">
        <f t="array" ref="J81">_xlfn.IFS(I81&lt;=10,"0-10",I81&lt;=20,"11-20",I81&gt;20,"20+")</f>
        <v>0-10</v>
      </c>
      <c r="K81" t="s">
        <v>23</v>
      </c>
      <c r="L81" t="s">
        <v>36</v>
      </c>
      <c r="M81" t="s">
        <v>25</v>
      </c>
      <c r="N81" t="s">
        <v>26</v>
      </c>
      <c r="O81" s="1">
        <v>45103</v>
      </c>
      <c r="P81" s="2">
        <f t="shared" si="3"/>
        <v>6</v>
      </c>
      <c r="Q81" s="2">
        <v>2426.9</v>
      </c>
    </row>
    <row r="82" spans="1:17" x14ac:dyDescent="0.25">
      <c r="A82" t="s">
        <v>76</v>
      </c>
      <c r="B82" t="s">
        <v>18</v>
      </c>
      <c r="C82" s="1">
        <v>31656</v>
      </c>
      <c r="D82" s="2">
        <f t="shared" ca="1" si="2"/>
        <v>39.174999999999997</v>
      </c>
      <c r="E82" t="s">
        <v>29</v>
      </c>
      <c r="F82" t="s">
        <v>50</v>
      </c>
      <c r="G82" t="s">
        <v>41</v>
      </c>
      <c r="H82" t="s">
        <v>51</v>
      </c>
      <c r="I82">
        <v>4</v>
      </c>
      <c r="J82" t="str" cm="1">
        <f t="array" ref="J82">_xlfn.IFS(I82&lt;=10,"0-10",I82&lt;=20,"11-20",I82&gt;20,"20+")</f>
        <v>0-10</v>
      </c>
      <c r="K82" t="s">
        <v>52</v>
      </c>
      <c r="L82" t="s">
        <v>24</v>
      </c>
      <c r="M82" t="s">
        <v>37</v>
      </c>
      <c r="N82" t="s">
        <v>46</v>
      </c>
      <c r="O82" s="1">
        <v>44932</v>
      </c>
      <c r="P82" s="2">
        <f t="shared" si="3"/>
        <v>1</v>
      </c>
      <c r="Q82" s="2">
        <v>3729.19</v>
      </c>
    </row>
    <row r="83" spans="1:17" x14ac:dyDescent="0.25">
      <c r="A83" t="s">
        <v>86</v>
      </c>
      <c r="B83" t="s">
        <v>18</v>
      </c>
      <c r="C83" s="1">
        <v>30967</v>
      </c>
      <c r="D83" s="2">
        <f t="shared" ca="1" si="2"/>
        <v>41.06111111111111</v>
      </c>
      <c r="E83" t="s">
        <v>35</v>
      </c>
      <c r="F83" t="s">
        <v>54</v>
      </c>
      <c r="G83" t="s">
        <v>66</v>
      </c>
      <c r="H83" t="s">
        <v>67</v>
      </c>
      <c r="I83">
        <v>5</v>
      </c>
      <c r="J83" t="str" cm="1">
        <f t="array" ref="J83">_xlfn.IFS(I83&lt;=10,"0-10",I83&lt;=20,"11-20",I83&gt;20,"20+")</f>
        <v>0-10</v>
      </c>
      <c r="K83" t="s">
        <v>52</v>
      </c>
      <c r="L83" t="s">
        <v>58</v>
      </c>
      <c r="M83" t="s">
        <v>25</v>
      </c>
      <c r="N83" t="s">
        <v>70</v>
      </c>
      <c r="O83" s="1">
        <v>44946</v>
      </c>
      <c r="P83" s="2">
        <f t="shared" si="3"/>
        <v>1</v>
      </c>
      <c r="Q83" s="2">
        <v>3615.96</v>
      </c>
    </row>
    <row r="84" spans="1:17" x14ac:dyDescent="0.25">
      <c r="A84" t="s">
        <v>89</v>
      </c>
      <c r="B84" t="s">
        <v>28</v>
      </c>
      <c r="C84" s="1">
        <v>34330</v>
      </c>
      <c r="D84" s="2">
        <f t="shared" ca="1" si="2"/>
        <v>31.852777777777778</v>
      </c>
      <c r="E84" t="s">
        <v>19</v>
      </c>
      <c r="F84" t="s">
        <v>30</v>
      </c>
      <c r="G84" t="s">
        <v>69</v>
      </c>
      <c r="H84" t="s">
        <v>67</v>
      </c>
      <c r="I84">
        <v>17</v>
      </c>
      <c r="J84" t="str" cm="1">
        <f t="array" ref="J84">_xlfn.IFS(I84&lt;=10,"0-10",I84&lt;=20,"11-20",I84&gt;20,"20+")</f>
        <v>11-20</v>
      </c>
      <c r="K84" t="s">
        <v>52</v>
      </c>
      <c r="L84" t="s">
        <v>45</v>
      </c>
      <c r="M84" t="s">
        <v>60</v>
      </c>
      <c r="N84" t="s">
        <v>46</v>
      </c>
      <c r="O84" s="1">
        <v>45237</v>
      </c>
      <c r="P84" s="2">
        <f t="shared" si="3"/>
        <v>11</v>
      </c>
      <c r="Q84" s="2">
        <v>4960.6499999999996</v>
      </c>
    </row>
    <row r="85" spans="1:17" x14ac:dyDescent="0.25">
      <c r="A85" t="s">
        <v>90</v>
      </c>
      <c r="B85" t="s">
        <v>18</v>
      </c>
      <c r="C85" s="1">
        <v>34072</v>
      </c>
      <c r="D85" s="2">
        <f t="shared" ca="1" si="2"/>
        <v>32.55833333333333</v>
      </c>
      <c r="E85" t="s">
        <v>29</v>
      </c>
      <c r="F85" t="s">
        <v>40</v>
      </c>
      <c r="G85" t="s">
        <v>41</v>
      </c>
      <c r="H85" t="s">
        <v>22</v>
      </c>
      <c r="I85">
        <v>23</v>
      </c>
      <c r="J85" t="str" cm="1">
        <f t="array" ref="J85">_xlfn.IFS(I85&lt;=10,"0-10",I85&lt;=20,"11-20",I85&gt;20,"20+")</f>
        <v>20+</v>
      </c>
      <c r="K85" t="s">
        <v>23</v>
      </c>
      <c r="L85" t="s">
        <v>36</v>
      </c>
      <c r="M85" t="s">
        <v>25</v>
      </c>
      <c r="N85" t="s">
        <v>46</v>
      </c>
      <c r="O85" s="1">
        <v>45077</v>
      </c>
      <c r="P85" s="2">
        <f t="shared" si="3"/>
        <v>5</v>
      </c>
      <c r="Q85" s="2">
        <v>1077.77</v>
      </c>
    </row>
    <row r="86" spans="1:17" x14ac:dyDescent="0.25">
      <c r="A86" t="s">
        <v>80</v>
      </c>
      <c r="B86" t="s">
        <v>28</v>
      </c>
      <c r="C86" s="1">
        <v>34387</v>
      </c>
      <c r="D86" s="2">
        <f t="shared" ca="1" si="2"/>
        <v>31.7</v>
      </c>
      <c r="E86" t="s">
        <v>19</v>
      </c>
      <c r="F86" t="s">
        <v>30</v>
      </c>
      <c r="G86" t="s">
        <v>69</v>
      </c>
      <c r="H86" t="s">
        <v>67</v>
      </c>
      <c r="I86">
        <v>17</v>
      </c>
      <c r="J86" t="str" cm="1">
        <f t="array" ref="J86">_xlfn.IFS(I86&lt;=10,"0-10",I86&lt;=20,"11-20",I86&gt;20,"20+")</f>
        <v>11-20</v>
      </c>
      <c r="K86" t="s">
        <v>52</v>
      </c>
      <c r="L86" t="s">
        <v>58</v>
      </c>
      <c r="M86" t="s">
        <v>37</v>
      </c>
      <c r="N86" t="s">
        <v>46</v>
      </c>
      <c r="O86" s="1">
        <v>44975</v>
      </c>
      <c r="P86" s="2">
        <f t="shared" si="3"/>
        <v>2</v>
      </c>
      <c r="Q86" s="2">
        <v>968.49</v>
      </c>
    </row>
    <row r="87" spans="1:17" x14ac:dyDescent="0.25">
      <c r="A87" t="s">
        <v>94</v>
      </c>
      <c r="B87" t="s">
        <v>28</v>
      </c>
      <c r="C87" s="1">
        <v>33359</v>
      </c>
      <c r="D87" s="2">
        <f t="shared" ca="1" si="2"/>
        <v>34.508333333333333</v>
      </c>
      <c r="E87" t="s">
        <v>19</v>
      </c>
      <c r="F87" t="s">
        <v>43</v>
      </c>
      <c r="G87" t="s">
        <v>41</v>
      </c>
      <c r="H87" t="s">
        <v>22</v>
      </c>
      <c r="I87">
        <v>24</v>
      </c>
      <c r="J87" t="str" cm="1">
        <f t="array" ref="J87">_xlfn.IFS(I87&lt;=10,"0-10",I87&lt;=20,"11-20",I87&gt;20,"20+")</f>
        <v>20+</v>
      </c>
      <c r="K87" t="s">
        <v>44</v>
      </c>
      <c r="L87" t="s">
        <v>36</v>
      </c>
      <c r="M87" t="s">
        <v>37</v>
      </c>
      <c r="N87" t="s">
        <v>56</v>
      </c>
      <c r="O87" s="1">
        <v>45228</v>
      </c>
      <c r="P87" s="2">
        <f t="shared" si="3"/>
        <v>10</v>
      </c>
      <c r="Q87" s="2">
        <v>3759.52</v>
      </c>
    </row>
    <row r="88" spans="1:17" x14ac:dyDescent="0.25">
      <c r="A88" t="s">
        <v>65</v>
      </c>
      <c r="B88" t="s">
        <v>28</v>
      </c>
      <c r="C88" s="1">
        <v>37953</v>
      </c>
      <c r="D88" s="2">
        <f t="shared" ca="1" si="2"/>
        <v>21.933333333333334</v>
      </c>
      <c r="E88" t="s">
        <v>29</v>
      </c>
      <c r="F88" t="s">
        <v>30</v>
      </c>
      <c r="G88" t="s">
        <v>69</v>
      </c>
      <c r="H88" t="s">
        <v>67</v>
      </c>
      <c r="I88">
        <v>17</v>
      </c>
      <c r="J88" t="str" cm="1">
        <f t="array" ref="J88">_xlfn.IFS(I88&lt;=10,"0-10",I88&lt;=20,"11-20",I88&gt;20,"20+")</f>
        <v>11-20</v>
      </c>
      <c r="K88" t="s">
        <v>52</v>
      </c>
      <c r="L88" t="s">
        <v>58</v>
      </c>
      <c r="M88" t="s">
        <v>37</v>
      </c>
      <c r="N88" t="s">
        <v>46</v>
      </c>
      <c r="O88" s="1">
        <v>45218</v>
      </c>
      <c r="P88" s="2">
        <f t="shared" si="3"/>
        <v>10</v>
      </c>
      <c r="Q88" s="2">
        <v>3102.74</v>
      </c>
    </row>
    <row r="89" spans="1:17" x14ac:dyDescent="0.25">
      <c r="A89" t="s">
        <v>95</v>
      </c>
      <c r="B89" t="s">
        <v>18</v>
      </c>
      <c r="C89" s="1">
        <v>27946</v>
      </c>
      <c r="D89" s="2">
        <f t="shared" ca="1" si="2"/>
        <v>49.330555555555556</v>
      </c>
      <c r="E89" t="s">
        <v>19</v>
      </c>
      <c r="F89" t="s">
        <v>20</v>
      </c>
      <c r="G89" t="s">
        <v>69</v>
      </c>
      <c r="H89" t="s">
        <v>67</v>
      </c>
      <c r="I89">
        <v>4</v>
      </c>
      <c r="J89" t="str" cm="1">
        <f t="array" ref="J89">_xlfn.IFS(I89&lt;=10,"0-10",I89&lt;=20,"11-20",I89&gt;20,"20+")</f>
        <v>0-10</v>
      </c>
      <c r="K89" t="s">
        <v>23</v>
      </c>
      <c r="L89" t="s">
        <v>48</v>
      </c>
      <c r="M89" t="s">
        <v>60</v>
      </c>
      <c r="N89" t="s">
        <v>56</v>
      </c>
      <c r="O89" s="1">
        <v>45048</v>
      </c>
      <c r="P89" s="2">
        <f t="shared" si="3"/>
        <v>5</v>
      </c>
      <c r="Q89" s="2">
        <v>1733.72</v>
      </c>
    </row>
    <row r="90" spans="1:17" x14ac:dyDescent="0.25">
      <c r="A90" t="s">
        <v>62</v>
      </c>
      <c r="B90" t="s">
        <v>28</v>
      </c>
      <c r="C90" s="1">
        <v>38487</v>
      </c>
      <c r="D90" s="2">
        <f t="shared" ca="1" si="2"/>
        <v>20.469444444444445</v>
      </c>
      <c r="E90" t="s">
        <v>39</v>
      </c>
      <c r="F90" t="s">
        <v>54</v>
      </c>
      <c r="G90" t="s">
        <v>55</v>
      </c>
      <c r="H90" t="s">
        <v>51</v>
      </c>
      <c r="I90">
        <v>2</v>
      </c>
      <c r="J90" t="str" cm="1">
        <f t="array" ref="J90">_xlfn.IFS(I90&lt;=10,"0-10",I90&lt;=20,"11-20",I90&gt;20,"20+")</f>
        <v>0-10</v>
      </c>
      <c r="K90" t="s">
        <v>44</v>
      </c>
      <c r="L90" t="s">
        <v>36</v>
      </c>
      <c r="M90" t="s">
        <v>60</v>
      </c>
      <c r="N90" t="s">
        <v>26</v>
      </c>
      <c r="O90" s="1">
        <v>44971</v>
      </c>
      <c r="P90" s="2">
        <f t="shared" si="3"/>
        <v>2</v>
      </c>
      <c r="Q90" s="2">
        <v>857.39</v>
      </c>
    </row>
    <row r="91" spans="1:17" x14ac:dyDescent="0.25">
      <c r="A91" t="s">
        <v>65</v>
      </c>
      <c r="B91" t="s">
        <v>28</v>
      </c>
      <c r="C91" s="1">
        <v>37953</v>
      </c>
      <c r="D91" s="2">
        <f t="shared" ca="1" si="2"/>
        <v>21.933333333333334</v>
      </c>
      <c r="E91" t="s">
        <v>29</v>
      </c>
      <c r="F91" t="s">
        <v>20</v>
      </c>
      <c r="G91" t="s">
        <v>21</v>
      </c>
      <c r="H91" t="s">
        <v>22</v>
      </c>
      <c r="I91">
        <v>4</v>
      </c>
      <c r="J91" t="str" cm="1">
        <f t="array" ref="J91">_xlfn.IFS(I91&lt;=10,"0-10",I91&lt;=20,"11-20",I91&gt;20,"20+")</f>
        <v>0-10</v>
      </c>
      <c r="K91" t="s">
        <v>23</v>
      </c>
      <c r="L91" t="s">
        <v>45</v>
      </c>
      <c r="M91" t="s">
        <v>32</v>
      </c>
      <c r="N91" t="s">
        <v>70</v>
      </c>
      <c r="O91" s="1">
        <v>45078</v>
      </c>
      <c r="P91" s="2">
        <f t="shared" si="3"/>
        <v>6</v>
      </c>
      <c r="Q91" s="2">
        <v>885.46</v>
      </c>
    </row>
    <row r="92" spans="1:17" x14ac:dyDescent="0.25">
      <c r="A92" t="s">
        <v>81</v>
      </c>
      <c r="B92" t="s">
        <v>28</v>
      </c>
      <c r="C92" s="1">
        <v>37177</v>
      </c>
      <c r="D92" s="2">
        <f t="shared" ca="1" si="2"/>
        <v>24.058333333333334</v>
      </c>
      <c r="E92" t="s">
        <v>19</v>
      </c>
      <c r="F92" t="s">
        <v>40</v>
      </c>
      <c r="G92" t="s">
        <v>41</v>
      </c>
      <c r="H92" t="s">
        <v>22</v>
      </c>
      <c r="I92">
        <v>23</v>
      </c>
      <c r="J92" t="str" cm="1">
        <f t="array" ref="J92">_xlfn.IFS(I92&lt;=10,"0-10",I92&lt;=20,"11-20",I92&gt;20,"20+")</f>
        <v>20+</v>
      </c>
      <c r="K92" t="s">
        <v>23</v>
      </c>
      <c r="L92" t="s">
        <v>45</v>
      </c>
      <c r="M92" t="s">
        <v>37</v>
      </c>
      <c r="N92" t="s">
        <v>70</v>
      </c>
      <c r="O92" s="1">
        <v>45088</v>
      </c>
      <c r="P92" s="2">
        <f t="shared" si="3"/>
        <v>6</v>
      </c>
      <c r="Q92" s="2">
        <v>4523.8599999999997</v>
      </c>
    </row>
    <row r="93" spans="1:17" x14ac:dyDescent="0.25">
      <c r="A93" t="s">
        <v>65</v>
      </c>
      <c r="B93" t="s">
        <v>28</v>
      </c>
      <c r="C93" s="1">
        <v>37953</v>
      </c>
      <c r="D93" s="2">
        <f t="shared" ca="1" si="2"/>
        <v>21.933333333333334</v>
      </c>
      <c r="E93" t="s">
        <v>29</v>
      </c>
      <c r="F93" t="s">
        <v>30</v>
      </c>
      <c r="G93" t="s">
        <v>69</v>
      </c>
      <c r="H93" t="s">
        <v>67</v>
      </c>
      <c r="I93">
        <v>17</v>
      </c>
      <c r="J93" t="str" cm="1">
        <f t="array" ref="J93">_xlfn.IFS(I93&lt;=10,"0-10",I93&lt;=20,"11-20",I93&gt;20,"20+")</f>
        <v>11-20</v>
      </c>
      <c r="K93" t="s">
        <v>52</v>
      </c>
      <c r="L93" t="s">
        <v>24</v>
      </c>
      <c r="M93" t="s">
        <v>25</v>
      </c>
      <c r="N93" t="s">
        <v>70</v>
      </c>
      <c r="O93" s="1">
        <v>44956</v>
      </c>
      <c r="P93" s="2">
        <f t="shared" si="3"/>
        <v>1</v>
      </c>
      <c r="Q93" s="2">
        <v>1363.4</v>
      </c>
    </row>
    <row r="94" spans="1:17" x14ac:dyDescent="0.25">
      <c r="A94" t="s">
        <v>17</v>
      </c>
      <c r="B94" t="s">
        <v>18</v>
      </c>
      <c r="C94" s="1">
        <v>18289</v>
      </c>
      <c r="D94" s="2">
        <f t="shared" ca="1" si="2"/>
        <v>75.772222222222226</v>
      </c>
      <c r="E94" t="s">
        <v>19</v>
      </c>
      <c r="F94" t="s">
        <v>30</v>
      </c>
      <c r="G94" t="s">
        <v>69</v>
      </c>
      <c r="H94" t="s">
        <v>67</v>
      </c>
      <c r="I94">
        <v>17</v>
      </c>
      <c r="J94" t="str" cm="1">
        <f t="array" ref="J94">_xlfn.IFS(I94&lt;=10,"0-10",I94&lt;=20,"11-20",I94&gt;20,"20+")</f>
        <v>11-20</v>
      </c>
      <c r="K94" t="s">
        <v>52</v>
      </c>
      <c r="L94" t="s">
        <v>58</v>
      </c>
      <c r="M94" t="s">
        <v>60</v>
      </c>
      <c r="N94" t="s">
        <v>70</v>
      </c>
      <c r="O94" s="1">
        <v>45025</v>
      </c>
      <c r="P94" s="2">
        <f t="shared" si="3"/>
        <v>4</v>
      </c>
      <c r="Q94" s="2">
        <v>1955.17</v>
      </c>
    </row>
    <row r="95" spans="1:17" x14ac:dyDescent="0.25">
      <c r="A95" t="s">
        <v>96</v>
      </c>
      <c r="B95" t="s">
        <v>28</v>
      </c>
      <c r="C95" s="1">
        <v>18798</v>
      </c>
      <c r="D95" s="2">
        <f t="shared" ca="1" si="2"/>
        <v>74.375</v>
      </c>
      <c r="E95" t="s">
        <v>19</v>
      </c>
      <c r="F95" t="s">
        <v>43</v>
      </c>
      <c r="G95" t="s">
        <v>41</v>
      </c>
      <c r="H95" t="s">
        <v>22</v>
      </c>
      <c r="I95">
        <v>24</v>
      </c>
      <c r="J95" t="str" cm="1">
        <f t="array" ref="J95">_xlfn.IFS(I95&lt;=10,"0-10",I95&lt;=20,"11-20",I95&gt;20,"20+")</f>
        <v>20+</v>
      </c>
      <c r="K95" t="s">
        <v>44</v>
      </c>
      <c r="L95" t="s">
        <v>36</v>
      </c>
      <c r="M95" t="s">
        <v>37</v>
      </c>
      <c r="N95" t="s">
        <v>70</v>
      </c>
      <c r="O95" s="1">
        <v>45024</v>
      </c>
      <c r="P95" s="2">
        <f t="shared" si="3"/>
        <v>4</v>
      </c>
      <c r="Q95" s="2">
        <v>1519.95</v>
      </c>
    </row>
    <row r="96" spans="1:17" x14ac:dyDescent="0.25">
      <c r="A96" t="s">
        <v>97</v>
      </c>
      <c r="B96" t="s">
        <v>18</v>
      </c>
      <c r="C96" s="1">
        <v>32667</v>
      </c>
      <c r="D96" s="2">
        <f t="shared" ca="1" si="2"/>
        <v>36.405555555555559</v>
      </c>
      <c r="E96" t="s">
        <v>29</v>
      </c>
      <c r="F96" t="s">
        <v>20</v>
      </c>
      <c r="G96" t="s">
        <v>21</v>
      </c>
      <c r="H96" t="s">
        <v>22</v>
      </c>
      <c r="I96">
        <v>4</v>
      </c>
      <c r="J96" t="str" cm="1">
        <f t="array" ref="J96">_xlfn.IFS(I96&lt;=10,"0-10",I96&lt;=20,"11-20",I96&gt;20,"20+")</f>
        <v>0-10</v>
      </c>
      <c r="K96" t="s">
        <v>23</v>
      </c>
      <c r="L96" t="s">
        <v>24</v>
      </c>
      <c r="M96" t="s">
        <v>37</v>
      </c>
      <c r="N96" t="s">
        <v>70</v>
      </c>
      <c r="O96" s="1">
        <v>45055</v>
      </c>
      <c r="P96" s="2">
        <f t="shared" si="3"/>
        <v>5</v>
      </c>
      <c r="Q96" s="2">
        <v>2097.48</v>
      </c>
    </row>
    <row r="97" spans="1:17" x14ac:dyDescent="0.25">
      <c r="A97" t="s">
        <v>84</v>
      </c>
      <c r="B97" t="s">
        <v>18</v>
      </c>
      <c r="C97" s="1">
        <v>29637</v>
      </c>
      <c r="D97" s="2">
        <f t="shared" ca="1" si="2"/>
        <v>44.705555555555556</v>
      </c>
      <c r="E97" t="s">
        <v>39</v>
      </c>
      <c r="F97" t="s">
        <v>43</v>
      </c>
      <c r="G97" t="s">
        <v>21</v>
      </c>
      <c r="H97" t="s">
        <v>22</v>
      </c>
      <c r="I97">
        <v>19</v>
      </c>
      <c r="J97" t="str" cm="1">
        <f t="array" ref="J97">_xlfn.IFS(I97&lt;=10,"0-10",I97&lt;=20,"11-20",I97&gt;20,"20+")</f>
        <v>11-20</v>
      </c>
      <c r="K97" t="s">
        <v>44</v>
      </c>
      <c r="L97" t="s">
        <v>36</v>
      </c>
      <c r="M97" t="s">
        <v>60</v>
      </c>
      <c r="N97" t="s">
        <v>70</v>
      </c>
      <c r="O97" s="1">
        <v>45114</v>
      </c>
      <c r="P97" s="2">
        <f t="shared" si="3"/>
        <v>7</v>
      </c>
      <c r="Q97" s="2">
        <v>812.41</v>
      </c>
    </row>
    <row r="98" spans="1:17" x14ac:dyDescent="0.25">
      <c r="A98" t="s">
        <v>89</v>
      </c>
      <c r="B98" t="s">
        <v>28</v>
      </c>
      <c r="C98" s="1">
        <v>34330</v>
      </c>
      <c r="D98" s="2">
        <f t="shared" ca="1" si="2"/>
        <v>31.852777777777778</v>
      </c>
      <c r="E98" t="s">
        <v>19</v>
      </c>
      <c r="F98" t="s">
        <v>30</v>
      </c>
      <c r="G98" t="s">
        <v>69</v>
      </c>
      <c r="H98" t="s">
        <v>67</v>
      </c>
      <c r="I98">
        <v>17</v>
      </c>
      <c r="J98" t="str" cm="1">
        <f t="array" ref="J98">_xlfn.IFS(I98&lt;=10,"0-10",I98&lt;=20,"11-20",I98&gt;20,"20+")</f>
        <v>11-20</v>
      </c>
      <c r="K98" t="s">
        <v>52</v>
      </c>
      <c r="L98" t="s">
        <v>58</v>
      </c>
      <c r="M98" t="s">
        <v>32</v>
      </c>
      <c r="N98" t="s">
        <v>26</v>
      </c>
      <c r="O98" s="1">
        <v>45052</v>
      </c>
      <c r="P98" s="2">
        <f t="shared" si="3"/>
        <v>5</v>
      </c>
      <c r="Q98" s="2">
        <v>2835.77</v>
      </c>
    </row>
    <row r="99" spans="1:17" x14ac:dyDescent="0.25">
      <c r="A99" t="s">
        <v>47</v>
      </c>
      <c r="B99" t="s">
        <v>18</v>
      </c>
      <c r="C99" s="1">
        <v>24222</v>
      </c>
      <c r="D99" s="2">
        <f t="shared" ca="1" si="2"/>
        <v>59.524999999999999</v>
      </c>
      <c r="E99" t="s">
        <v>29</v>
      </c>
      <c r="F99" t="s">
        <v>20</v>
      </c>
      <c r="G99" t="s">
        <v>69</v>
      </c>
      <c r="H99" t="s">
        <v>67</v>
      </c>
      <c r="I99">
        <v>4</v>
      </c>
      <c r="J99" t="str" cm="1">
        <f t="array" ref="J99">_xlfn.IFS(I99&lt;=10,"0-10",I99&lt;=20,"11-20",I99&gt;20,"20+")</f>
        <v>0-10</v>
      </c>
      <c r="K99" t="s">
        <v>23</v>
      </c>
      <c r="L99" t="s">
        <v>45</v>
      </c>
      <c r="M99" t="s">
        <v>60</v>
      </c>
      <c r="N99" t="s">
        <v>46</v>
      </c>
      <c r="O99" s="1">
        <v>45002</v>
      </c>
      <c r="P99" s="2">
        <f t="shared" si="3"/>
        <v>3</v>
      </c>
      <c r="Q99" s="2">
        <v>804.26</v>
      </c>
    </row>
    <row r="100" spans="1:17" x14ac:dyDescent="0.25">
      <c r="A100" t="s">
        <v>98</v>
      </c>
      <c r="B100" t="s">
        <v>18</v>
      </c>
      <c r="C100" s="1">
        <v>24445</v>
      </c>
      <c r="D100" s="2">
        <f t="shared" ca="1" si="2"/>
        <v>58.916666666666664</v>
      </c>
      <c r="E100" t="s">
        <v>29</v>
      </c>
      <c r="F100" t="s">
        <v>50</v>
      </c>
      <c r="G100" t="s">
        <v>41</v>
      </c>
      <c r="H100" t="s">
        <v>51</v>
      </c>
      <c r="I100">
        <v>4</v>
      </c>
      <c r="J100" t="str" cm="1">
        <f t="array" ref="J100">_xlfn.IFS(I100&lt;=10,"0-10",I100&lt;=20,"11-20",I100&gt;20,"20+")</f>
        <v>0-10</v>
      </c>
      <c r="K100" t="s">
        <v>52</v>
      </c>
      <c r="L100" t="s">
        <v>48</v>
      </c>
      <c r="M100" t="s">
        <v>60</v>
      </c>
      <c r="N100" t="s">
        <v>33</v>
      </c>
      <c r="O100" s="1">
        <v>45111</v>
      </c>
      <c r="P100" s="2">
        <f t="shared" si="3"/>
        <v>7</v>
      </c>
      <c r="Q100" s="2">
        <v>4101.6000000000004</v>
      </c>
    </row>
    <row r="101" spans="1:17" x14ac:dyDescent="0.25">
      <c r="A101" t="s">
        <v>62</v>
      </c>
      <c r="B101" t="s">
        <v>28</v>
      </c>
      <c r="C101" s="1">
        <v>38487</v>
      </c>
      <c r="D101" s="2">
        <f t="shared" ca="1" si="2"/>
        <v>20.469444444444445</v>
      </c>
      <c r="E101" t="s">
        <v>39</v>
      </c>
      <c r="F101" t="s">
        <v>40</v>
      </c>
      <c r="G101" t="s">
        <v>41</v>
      </c>
      <c r="H101" t="s">
        <v>22</v>
      </c>
      <c r="I101">
        <v>23</v>
      </c>
      <c r="J101" t="str" cm="1">
        <f t="array" ref="J101">_xlfn.IFS(I101&lt;=10,"0-10",I101&lt;=20,"11-20",I101&gt;20,"20+")</f>
        <v>20+</v>
      </c>
      <c r="K101" t="s">
        <v>23</v>
      </c>
      <c r="L101" t="s">
        <v>45</v>
      </c>
      <c r="M101" t="s">
        <v>25</v>
      </c>
      <c r="N101" t="s">
        <v>56</v>
      </c>
      <c r="O101" s="1">
        <v>44987</v>
      </c>
      <c r="P101" s="2">
        <f t="shared" si="3"/>
        <v>3</v>
      </c>
      <c r="Q101" s="2">
        <v>1551.7</v>
      </c>
    </row>
    <row r="102" spans="1:17" x14ac:dyDescent="0.25">
      <c r="A102" t="s">
        <v>78</v>
      </c>
      <c r="B102" t="s">
        <v>28</v>
      </c>
      <c r="C102" s="1">
        <v>35790</v>
      </c>
      <c r="D102" s="2">
        <f t="shared" ca="1" si="2"/>
        <v>27.855555555555554</v>
      </c>
      <c r="E102" t="s">
        <v>29</v>
      </c>
      <c r="F102" t="s">
        <v>30</v>
      </c>
      <c r="G102" t="s">
        <v>69</v>
      </c>
      <c r="H102" t="s">
        <v>67</v>
      </c>
      <c r="I102">
        <v>17</v>
      </c>
      <c r="J102" t="str" cm="1">
        <f t="array" ref="J102">_xlfn.IFS(I102&lt;=10,"0-10",I102&lt;=20,"11-20",I102&gt;20,"20+")</f>
        <v>11-20</v>
      </c>
      <c r="K102" t="s">
        <v>52</v>
      </c>
      <c r="L102" t="s">
        <v>24</v>
      </c>
      <c r="M102" t="s">
        <v>25</v>
      </c>
      <c r="N102" t="s">
        <v>33</v>
      </c>
      <c r="O102" s="1">
        <v>45190</v>
      </c>
      <c r="P102" s="2">
        <f t="shared" si="3"/>
        <v>9</v>
      </c>
      <c r="Q102" s="2">
        <v>2930.05</v>
      </c>
    </row>
    <row r="103" spans="1:17" x14ac:dyDescent="0.25">
      <c r="A103" t="s">
        <v>38</v>
      </c>
      <c r="B103" t="s">
        <v>28</v>
      </c>
      <c r="C103" s="1">
        <v>24333</v>
      </c>
      <c r="D103" s="2">
        <f t="shared" ca="1" si="2"/>
        <v>59.222222222222221</v>
      </c>
      <c r="E103" t="s">
        <v>39</v>
      </c>
      <c r="F103" t="s">
        <v>20</v>
      </c>
      <c r="G103" t="s">
        <v>69</v>
      </c>
      <c r="H103" t="s">
        <v>67</v>
      </c>
      <c r="I103">
        <v>4</v>
      </c>
      <c r="J103" t="str" cm="1">
        <f t="array" ref="J103">_xlfn.IFS(I103&lt;=10,"0-10",I103&lt;=20,"11-20",I103&gt;20,"20+")</f>
        <v>0-10</v>
      </c>
      <c r="K103" t="s">
        <v>23</v>
      </c>
      <c r="L103" t="s">
        <v>48</v>
      </c>
      <c r="M103" t="s">
        <v>32</v>
      </c>
      <c r="N103" t="s">
        <v>33</v>
      </c>
      <c r="O103" s="1">
        <v>45224</v>
      </c>
      <c r="P103" s="2">
        <f t="shared" si="3"/>
        <v>10</v>
      </c>
      <c r="Q103" s="2">
        <v>4460.3599999999997</v>
      </c>
    </row>
    <row r="104" spans="1:17" x14ac:dyDescent="0.25">
      <c r="A104" t="s">
        <v>77</v>
      </c>
      <c r="B104" t="s">
        <v>28</v>
      </c>
      <c r="C104" s="1">
        <v>37316</v>
      </c>
      <c r="D104" s="2">
        <f t="shared" ca="1" si="2"/>
        <v>23.675000000000001</v>
      </c>
      <c r="E104" t="s">
        <v>19</v>
      </c>
      <c r="F104" t="s">
        <v>20</v>
      </c>
      <c r="G104" t="s">
        <v>69</v>
      </c>
      <c r="H104" t="s">
        <v>67</v>
      </c>
      <c r="I104">
        <v>4</v>
      </c>
      <c r="J104" t="str" cm="1">
        <f t="array" ref="J104">_xlfn.IFS(I104&lt;=10,"0-10",I104&lt;=20,"11-20",I104&gt;20,"20+")</f>
        <v>0-10</v>
      </c>
      <c r="K104" t="s">
        <v>23</v>
      </c>
      <c r="L104" t="s">
        <v>24</v>
      </c>
      <c r="M104" t="s">
        <v>37</v>
      </c>
      <c r="N104" t="s">
        <v>46</v>
      </c>
      <c r="O104" s="1">
        <v>44950</v>
      </c>
      <c r="P104" s="2">
        <f t="shared" si="3"/>
        <v>1</v>
      </c>
      <c r="Q104" s="2">
        <v>3428.95</v>
      </c>
    </row>
    <row r="105" spans="1:17" x14ac:dyDescent="0.25">
      <c r="A105" t="s">
        <v>78</v>
      </c>
      <c r="B105" t="s">
        <v>28</v>
      </c>
      <c r="C105" s="1">
        <v>35790</v>
      </c>
      <c r="D105" s="2">
        <f t="shared" ca="1" si="2"/>
        <v>27.855555555555554</v>
      </c>
      <c r="E105" t="s">
        <v>29</v>
      </c>
      <c r="F105" t="s">
        <v>40</v>
      </c>
      <c r="G105" t="s">
        <v>41</v>
      </c>
      <c r="H105" t="s">
        <v>22</v>
      </c>
      <c r="I105">
        <v>23</v>
      </c>
      <c r="J105" t="str" cm="1">
        <f t="array" ref="J105">_xlfn.IFS(I105&lt;=10,"0-10",I105&lt;=20,"11-20",I105&gt;20,"20+")</f>
        <v>20+</v>
      </c>
      <c r="K105" t="s">
        <v>23</v>
      </c>
      <c r="L105" t="s">
        <v>58</v>
      </c>
      <c r="M105" t="s">
        <v>60</v>
      </c>
      <c r="N105" t="s">
        <v>46</v>
      </c>
      <c r="O105" s="1">
        <v>45034</v>
      </c>
      <c r="P105" s="2">
        <f t="shared" si="3"/>
        <v>4</v>
      </c>
      <c r="Q105" s="2">
        <v>2898.31</v>
      </c>
    </row>
    <row r="106" spans="1:17" x14ac:dyDescent="0.25">
      <c r="A106" t="s">
        <v>81</v>
      </c>
      <c r="B106" t="s">
        <v>28</v>
      </c>
      <c r="C106" s="1">
        <v>37177</v>
      </c>
      <c r="D106" s="2">
        <f t="shared" ca="1" si="2"/>
        <v>24.058333333333334</v>
      </c>
      <c r="E106" t="s">
        <v>19</v>
      </c>
      <c r="F106" t="s">
        <v>43</v>
      </c>
      <c r="G106" t="s">
        <v>21</v>
      </c>
      <c r="H106" t="s">
        <v>22</v>
      </c>
      <c r="I106">
        <v>19</v>
      </c>
      <c r="J106" t="str" cm="1">
        <f t="array" ref="J106">_xlfn.IFS(I106&lt;=10,"0-10",I106&lt;=20,"11-20",I106&gt;20,"20+")</f>
        <v>11-20</v>
      </c>
      <c r="K106" t="s">
        <v>44</v>
      </c>
      <c r="L106" t="s">
        <v>48</v>
      </c>
      <c r="M106" t="s">
        <v>32</v>
      </c>
      <c r="N106" t="s">
        <v>46</v>
      </c>
      <c r="O106" s="1">
        <v>45152</v>
      </c>
      <c r="P106" s="2">
        <f t="shared" si="3"/>
        <v>8</v>
      </c>
      <c r="Q106" s="2">
        <v>1959.5</v>
      </c>
    </row>
    <row r="107" spans="1:17" x14ac:dyDescent="0.25">
      <c r="A107" t="s">
        <v>68</v>
      </c>
      <c r="B107" t="s">
        <v>28</v>
      </c>
      <c r="C107" s="1">
        <v>36196</v>
      </c>
      <c r="D107" s="2">
        <f t="shared" ca="1" si="2"/>
        <v>26.747222222222224</v>
      </c>
      <c r="E107" t="s">
        <v>39</v>
      </c>
      <c r="F107" t="s">
        <v>20</v>
      </c>
      <c r="G107" t="s">
        <v>69</v>
      </c>
      <c r="H107" t="s">
        <v>67</v>
      </c>
      <c r="I107">
        <v>4</v>
      </c>
      <c r="J107" t="str" cm="1">
        <f t="array" ref="J107">_xlfn.IFS(I107&lt;=10,"0-10",I107&lt;=20,"11-20",I107&gt;20,"20+")</f>
        <v>0-10</v>
      </c>
      <c r="K107" t="s">
        <v>23</v>
      </c>
      <c r="L107" t="s">
        <v>24</v>
      </c>
      <c r="M107" t="s">
        <v>25</v>
      </c>
      <c r="N107" t="s">
        <v>70</v>
      </c>
      <c r="O107" s="1">
        <v>45228</v>
      </c>
      <c r="P107" s="2">
        <f t="shared" si="3"/>
        <v>10</v>
      </c>
      <c r="Q107" s="2">
        <v>1998.51</v>
      </c>
    </row>
    <row r="108" spans="1:17" x14ac:dyDescent="0.25">
      <c r="A108" t="s">
        <v>99</v>
      </c>
      <c r="B108" t="s">
        <v>28</v>
      </c>
      <c r="C108" s="1">
        <v>26278</v>
      </c>
      <c r="D108" s="2">
        <f t="shared" ca="1" si="2"/>
        <v>53.897222222222226</v>
      </c>
      <c r="E108" t="s">
        <v>35</v>
      </c>
      <c r="F108" t="s">
        <v>50</v>
      </c>
      <c r="G108" t="s">
        <v>41</v>
      </c>
      <c r="H108" t="s">
        <v>51</v>
      </c>
      <c r="I108">
        <v>4</v>
      </c>
      <c r="J108" t="str" cm="1">
        <f t="array" ref="J108">_xlfn.IFS(I108&lt;=10,"0-10",I108&lt;=20,"11-20",I108&gt;20,"20+")</f>
        <v>0-10</v>
      </c>
      <c r="K108" t="s">
        <v>52</v>
      </c>
      <c r="L108" t="s">
        <v>58</v>
      </c>
      <c r="M108" t="s">
        <v>60</v>
      </c>
      <c r="N108" t="s">
        <v>26</v>
      </c>
      <c r="O108" s="1">
        <v>45033</v>
      </c>
      <c r="P108" s="2">
        <f t="shared" si="3"/>
        <v>4</v>
      </c>
      <c r="Q108" s="2">
        <v>3512.69</v>
      </c>
    </row>
    <row r="109" spans="1:17" x14ac:dyDescent="0.25">
      <c r="A109" t="s">
        <v>85</v>
      </c>
      <c r="B109" t="s">
        <v>18</v>
      </c>
      <c r="C109" s="1">
        <v>33546</v>
      </c>
      <c r="D109" s="2">
        <f t="shared" ca="1" si="2"/>
        <v>34</v>
      </c>
      <c r="E109" t="s">
        <v>19</v>
      </c>
      <c r="F109" t="s">
        <v>20</v>
      </c>
      <c r="G109" t="s">
        <v>69</v>
      </c>
      <c r="H109" t="s">
        <v>67</v>
      </c>
      <c r="I109">
        <v>4</v>
      </c>
      <c r="J109" t="str" cm="1">
        <f t="array" ref="J109">_xlfn.IFS(I109&lt;=10,"0-10",I109&lt;=20,"11-20",I109&gt;20,"20+")</f>
        <v>0-10</v>
      </c>
      <c r="K109" t="s">
        <v>23</v>
      </c>
      <c r="L109" t="s">
        <v>45</v>
      </c>
      <c r="M109" t="s">
        <v>37</v>
      </c>
      <c r="N109" t="s">
        <v>70</v>
      </c>
      <c r="O109" s="1">
        <v>45037</v>
      </c>
      <c r="P109" s="2">
        <f t="shared" si="3"/>
        <v>4</v>
      </c>
      <c r="Q109" s="2">
        <v>4973.63</v>
      </c>
    </row>
    <row r="110" spans="1:17" x14ac:dyDescent="0.25">
      <c r="A110" t="s">
        <v>90</v>
      </c>
      <c r="B110" t="s">
        <v>18</v>
      </c>
      <c r="C110" s="1">
        <v>34072</v>
      </c>
      <c r="D110" s="2">
        <f t="shared" ca="1" si="2"/>
        <v>32.55833333333333</v>
      </c>
      <c r="E110" t="s">
        <v>29</v>
      </c>
      <c r="F110" t="s">
        <v>20</v>
      </c>
      <c r="G110" t="s">
        <v>69</v>
      </c>
      <c r="H110" t="s">
        <v>67</v>
      </c>
      <c r="I110">
        <v>4</v>
      </c>
      <c r="J110" t="str" cm="1">
        <f t="array" ref="J110">_xlfn.IFS(I110&lt;=10,"0-10",I110&lt;=20,"11-20",I110&gt;20,"20+")</f>
        <v>0-10</v>
      </c>
      <c r="K110" t="s">
        <v>23</v>
      </c>
      <c r="L110" t="s">
        <v>58</v>
      </c>
      <c r="M110" t="s">
        <v>25</v>
      </c>
      <c r="N110" t="s">
        <v>26</v>
      </c>
      <c r="O110" s="1">
        <v>45136</v>
      </c>
      <c r="P110" s="2">
        <f t="shared" si="3"/>
        <v>7</v>
      </c>
      <c r="Q110" s="2">
        <v>3478.28</v>
      </c>
    </row>
    <row r="111" spans="1:17" x14ac:dyDescent="0.25">
      <c r="A111" t="s">
        <v>74</v>
      </c>
      <c r="B111" t="s">
        <v>28</v>
      </c>
      <c r="C111" s="1">
        <v>26629</v>
      </c>
      <c r="D111" s="2">
        <f t="shared" ca="1" si="2"/>
        <v>52.93888888888889</v>
      </c>
      <c r="E111" t="s">
        <v>29</v>
      </c>
      <c r="F111" t="s">
        <v>20</v>
      </c>
      <c r="G111" t="s">
        <v>69</v>
      </c>
      <c r="H111" t="s">
        <v>67</v>
      </c>
      <c r="I111">
        <v>4</v>
      </c>
      <c r="J111" t="str" cm="1">
        <f t="array" ref="J111">_xlfn.IFS(I111&lt;=10,"0-10",I111&lt;=20,"11-20",I111&gt;20,"20+")</f>
        <v>0-10</v>
      </c>
      <c r="K111" t="s">
        <v>23</v>
      </c>
      <c r="L111" t="s">
        <v>36</v>
      </c>
      <c r="M111" t="s">
        <v>25</v>
      </c>
      <c r="N111" t="s">
        <v>26</v>
      </c>
      <c r="O111" s="1">
        <v>45126</v>
      </c>
      <c r="P111" s="2">
        <f t="shared" si="3"/>
        <v>7</v>
      </c>
      <c r="Q111" s="2">
        <v>3010.03</v>
      </c>
    </row>
    <row r="112" spans="1:17" x14ac:dyDescent="0.25">
      <c r="A112" t="s">
        <v>90</v>
      </c>
      <c r="B112" t="s">
        <v>18</v>
      </c>
      <c r="C112" s="1">
        <v>34072</v>
      </c>
      <c r="D112" s="2">
        <f t="shared" ca="1" si="2"/>
        <v>32.55833333333333</v>
      </c>
      <c r="E112" t="s">
        <v>29</v>
      </c>
      <c r="F112" t="s">
        <v>54</v>
      </c>
      <c r="G112" t="s">
        <v>55</v>
      </c>
      <c r="H112" t="s">
        <v>51</v>
      </c>
      <c r="I112">
        <v>2</v>
      </c>
      <c r="J112" t="str" cm="1">
        <f t="array" ref="J112">_xlfn.IFS(I112&lt;=10,"0-10",I112&lt;=20,"11-20",I112&gt;20,"20+")</f>
        <v>0-10</v>
      </c>
      <c r="K112" t="s">
        <v>44</v>
      </c>
      <c r="L112" t="s">
        <v>58</v>
      </c>
      <c r="M112" t="s">
        <v>25</v>
      </c>
      <c r="N112" t="s">
        <v>33</v>
      </c>
      <c r="O112" s="1">
        <v>45068</v>
      </c>
      <c r="P112" s="2">
        <f t="shared" si="3"/>
        <v>5</v>
      </c>
      <c r="Q112" s="2">
        <v>3787.93</v>
      </c>
    </row>
    <row r="113" spans="1:17" x14ac:dyDescent="0.25">
      <c r="A113" t="s">
        <v>34</v>
      </c>
      <c r="B113" t="s">
        <v>28</v>
      </c>
      <c r="C113" s="1">
        <v>30399</v>
      </c>
      <c r="D113" s="2">
        <f t="shared" ca="1" si="2"/>
        <v>42.611111111111114</v>
      </c>
      <c r="E113" t="s">
        <v>35</v>
      </c>
      <c r="F113" t="s">
        <v>54</v>
      </c>
      <c r="G113" t="s">
        <v>55</v>
      </c>
      <c r="H113" t="s">
        <v>51</v>
      </c>
      <c r="I113">
        <v>2</v>
      </c>
      <c r="J113" t="str" cm="1">
        <f t="array" ref="J113">_xlfn.IFS(I113&lt;=10,"0-10",I113&lt;=20,"11-20",I113&gt;20,"20+")</f>
        <v>0-10</v>
      </c>
      <c r="K113" t="s">
        <v>44</v>
      </c>
      <c r="L113" t="s">
        <v>58</v>
      </c>
      <c r="M113" t="s">
        <v>32</v>
      </c>
      <c r="N113" t="s">
        <v>33</v>
      </c>
      <c r="O113" s="1">
        <v>44937</v>
      </c>
      <c r="P113" s="2">
        <f t="shared" si="3"/>
        <v>1</v>
      </c>
      <c r="Q113" s="2">
        <v>2593.4299999999998</v>
      </c>
    </row>
    <row r="114" spans="1:17" x14ac:dyDescent="0.25">
      <c r="A114" t="s">
        <v>78</v>
      </c>
      <c r="B114" t="s">
        <v>28</v>
      </c>
      <c r="C114" s="1">
        <v>35790</v>
      </c>
      <c r="D114" s="2">
        <f t="shared" ca="1" si="2"/>
        <v>27.855555555555554</v>
      </c>
      <c r="E114" t="s">
        <v>29</v>
      </c>
      <c r="F114" t="s">
        <v>43</v>
      </c>
      <c r="G114" t="s">
        <v>21</v>
      </c>
      <c r="H114" t="s">
        <v>22</v>
      </c>
      <c r="I114">
        <v>19</v>
      </c>
      <c r="J114" t="str" cm="1">
        <f t="array" ref="J114">_xlfn.IFS(I114&lt;=10,"0-10",I114&lt;=20,"11-20",I114&gt;20,"20+")</f>
        <v>11-20</v>
      </c>
      <c r="K114" t="s">
        <v>44</v>
      </c>
      <c r="L114" t="s">
        <v>36</v>
      </c>
      <c r="M114" t="s">
        <v>37</v>
      </c>
      <c r="N114" t="s">
        <v>26</v>
      </c>
      <c r="O114" s="1">
        <v>45254</v>
      </c>
      <c r="P114" s="2">
        <f t="shared" si="3"/>
        <v>11</v>
      </c>
      <c r="Q114" s="2">
        <v>770.64</v>
      </c>
    </row>
    <row r="115" spans="1:17" x14ac:dyDescent="0.25">
      <c r="A115" t="s">
        <v>100</v>
      </c>
      <c r="B115" t="s">
        <v>28</v>
      </c>
      <c r="C115" s="1">
        <v>29122</v>
      </c>
      <c r="D115" s="2">
        <f t="shared" ca="1" si="2"/>
        <v>46.111111111111114</v>
      </c>
      <c r="E115" t="s">
        <v>35</v>
      </c>
      <c r="F115" t="s">
        <v>30</v>
      </c>
      <c r="G115" t="s">
        <v>69</v>
      </c>
      <c r="H115" t="s">
        <v>67</v>
      </c>
      <c r="I115">
        <v>17</v>
      </c>
      <c r="J115" t="str" cm="1">
        <f t="array" ref="J115">_xlfn.IFS(I115&lt;=10,"0-10",I115&lt;=20,"11-20",I115&gt;20,"20+")</f>
        <v>11-20</v>
      </c>
      <c r="K115" t="s">
        <v>52</v>
      </c>
      <c r="L115" t="s">
        <v>24</v>
      </c>
      <c r="M115" t="s">
        <v>60</v>
      </c>
      <c r="N115" t="s">
        <v>26</v>
      </c>
      <c r="O115" s="1">
        <v>45146</v>
      </c>
      <c r="P115" s="2">
        <f t="shared" si="3"/>
        <v>8</v>
      </c>
      <c r="Q115" s="2">
        <v>3030.34</v>
      </c>
    </row>
    <row r="116" spans="1:17" x14ac:dyDescent="0.25">
      <c r="A116" t="s">
        <v>74</v>
      </c>
      <c r="B116" t="s">
        <v>28</v>
      </c>
      <c r="C116" s="1">
        <v>26629</v>
      </c>
      <c r="D116" s="2">
        <f t="shared" ca="1" si="2"/>
        <v>52.93888888888889</v>
      </c>
      <c r="E116" t="s">
        <v>29</v>
      </c>
      <c r="F116" t="s">
        <v>20</v>
      </c>
      <c r="G116" t="s">
        <v>69</v>
      </c>
      <c r="H116" t="s">
        <v>67</v>
      </c>
      <c r="I116">
        <v>4</v>
      </c>
      <c r="J116" t="str" cm="1">
        <f t="array" ref="J116">_xlfn.IFS(I116&lt;=10,"0-10",I116&lt;=20,"11-20",I116&gt;20,"20+")</f>
        <v>0-10</v>
      </c>
      <c r="K116" t="s">
        <v>23</v>
      </c>
      <c r="L116" t="s">
        <v>24</v>
      </c>
      <c r="M116" t="s">
        <v>32</v>
      </c>
      <c r="N116" t="s">
        <v>70</v>
      </c>
      <c r="O116" s="1">
        <v>45224</v>
      </c>
      <c r="P116" s="2">
        <f t="shared" si="3"/>
        <v>10</v>
      </c>
      <c r="Q116" s="2">
        <v>4809.3100000000004</v>
      </c>
    </row>
    <row r="117" spans="1:17" x14ac:dyDescent="0.25">
      <c r="A117" t="s">
        <v>57</v>
      </c>
      <c r="B117" t="s">
        <v>18</v>
      </c>
      <c r="C117" s="1">
        <v>18609</v>
      </c>
      <c r="D117" s="2">
        <f t="shared" ca="1" si="2"/>
        <v>74.894444444444446</v>
      </c>
      <c r="E117" t="s">
        <v>35</v>
      </c>
      <c r="F117" t="s">
        <v>20</v>
      </c>
      <c r="G117" t="s">
        <v>21</v>
      </c>
      <c r="H117" t="s">
        <v>22</v>
      </c>
      <c r="I117">
        <v>4</v>
      </c>
      <c r="J117" t="str" cm="1">
        <f t="array" ref="J117">_xlfn.IFS(I117&lt;=10,"0-10",I117&lt;=20,"11-20",I117&gt;20,"20+")</f>
        <v>0-10</v>
      </c>
      <c r="K117" t="s">
        <v>23</v>
      </c>
      <c r="L117" t="s">
        <v>58</v>
      </c>
      <c r="M117" t="s">
        <v>32</v>
      </c>
      <c r="N117" t="s">
        <v>70</v>
      </c>
      <c r="O117" s="1">
        <v>45114</v>
      </c>
      <c r="P117" s="2">
        <f t="shared" si="3"/>
        <v>7</v>
      </c>
      <c r="Q117" s="2">
        <v>1288.8599999999999</v>
      </c>
    </row>
    <row r="118" spans="1:17" x14ac:dyDescent="0.25">
      <c r="A118" t="s">
        <v>27</v>
      </c>
      <c r="B118" t="s">
        <v>28</v>
      </c>
      <c r="C118" s="1">
        <v>29594</v>
      </c>
      <c r="D118" s="2">
        <f t="shared" ca="1" si="2"/>
        <v>44.822222222222223</v>
      </c>
      <c r="E118" t="s">
        <v>29</v>
      </c>
      <c r="F118" t="s">
        <v>30</v>
      </c>
      <c r="G118" t="s">
        <v>69</v>
      </c>
      <c r="H118" t="s">
        <v>67</v>
      </c>
      <c r="I118">
        <v>17</v>
      </c>
      <c r="J118" t="str" cm="1">
        <f t="array" ref="J118">_xlfn.IFS(I118&lt;=10,"0-10",I118&lt;=20,"11-20",I118&gt;20,"20+")</f>
        <v>11-20</v>
      </c>
      <c r="K118" t="s">
        <v>52</v>
      </c>
      <c r="L118" t="s">
        <v>36</v>
      </c>
      <c r="M118" t="s">
        <v>32</v>
      </c>
      <c r="N118" t="s">
        <v>33</v>
      </c>
      <c r="O118" s="1">
        <v>45097</v>
      </c>
      <c r="P118" s="2">
        <f t="shared" si="3"/>
        <v>6</v>
      </c>
      <c r="Q118" s="2">
        <v>3605.02</v>
      </c>
    </row>
    <row r="119" spans="1:17" x14ac:dyDescent="0.25">
      <c r="A119" t="s">
        <v>85</v>
      </c>
      <c r="B119" t="s">
        <v>18</v>
      </c>
      <c r="C119" s="1">
        <v>33546</v>
      </c>
      <c r="D119" s="2">
        <f t="shared" ca="1" si="2"/>
        <v>34</v>
      </c>
      <c r="E119" t="s">
        <v>19</v>
      </c>
      <c r="F119" t="s">
        <v>43</v>
      </c>
      <c r="G119" t="s">
        <v>21</v>
      </c>
      <c r="H119" t="s">
        <v>22</v>
      </c>
      <c r="I119">
        <v>19</v>
      </c>
      <c r="J119" t="str" cm="1">
        <f t="array" ref="J119">_xlfn.IFS(I119&lt;=10,"0-10",I119&lt;=20,"11-20",I119&gt;20,"20+")</f>
        <v>11-20</v>
      </c>
      <c r="K119" t="s">
        <v>44</v>
      </c>
      <c r="L119" t="s">
        <v>36</v>
      </c>
      <c r="M119" t="s">
        <v>25</v>
      </c>
      <c r="N119" t="s">
        <v>46</v>
      </c>
      <c r="O119" s="1">
        <v>45147</v>
      </c>
      <c r="P119" s="2">
        <f t="shared" si="3"/>
        <v>8</v>
      </c>
      <c r="Q119" s="2">
        <v>1404.2</v>
      </c>
    </row>
    <row r="120" spans="1:17" x14ac:dyDescent="0.25">
      <c r="A120" t="s">
        <v>80</v>
      </c>
      <c r="B120" t="s">
        <v>28</v>
      </c>
      <c r="C120" s="1">
        <v>34387</v>
      </c>
      <c r="D120" s="2">
        <f t="shared" ca="1" si="2"/>
        <v>31.7</v>
      </c>
      <c r="E120" t="s">
        <v>19</v>
      </c>
      <c r="F120" t="s">
        <v>30</v>
      </c>
      <c r="G120" t="s">
        <v>31</v>
      </c>
      <c r="H120" t="s">
        <v>22</v>
      </c>
      <c r="I120">
        <v>28</v>
      </c>
      <c r="J120" t="str" cm="1">
        <f t="array" ref="J120">_xlfn.IFS(I120&lt;=10,"0-10",I120&lt;=20,"11-20",I120&gt;20,"20+")</f>
        <v>20+</v>
      </c>
      <c r="K120" t="s">
        <v>23</v>
      </c>
      <c r="L120" t="s">
        <v>45</v>
      </c>
      <c r="M120" t="s">
        <v>37</v>
      </c>
      <c r="N120" t="s">
        <v>26</v>
      </c>
      <c r="O120" s="1">
        <v>45278</v>
      </c>
      <c r="P120" s="2">
        <f t="shared" si="3"/>
        <v>12</v>
      </c>
      <c r="Q120" s="2">
        <v>2911.22</v>
      </c>
    </row>
    <row r="121" spans="1:17" x14ac:dyDescent="0.25">
      <c r="A121" t="s">
        <v>27</v>
      </c>
      <c r="B121" t="s">
        <v>28</v>
      </c>
      <c r="C121" s="1">
        <v>29594</v>
      </c>
      <c r="D121" s="2">
        <f t="shared" ca="1" si="2"/>
        <v>44.822222222222223</v>
      </c>
      <c r="E121" t="s">
        <v>29</v>
      </c>
      <c r="F121" t="s">
        <v>30</v>
      </c>
      <c r="G121" t="s">
        <v>69</v>
      </c>
      <c r="H121" t="s">
        <v>67</v>
      </c>
      <c r="I121">
        <v>17</v>
      </c>
      <c r="J121" t="str" cm="1">
        <f t="array" ref="J121">_xlfn.IFS(I121&lt;=10,"0-10",I121&lt;=20,"11-20",I121&gt;20,"20+")</f>
        <v>11-20</v>
      </c>
      <c r="K121" t="s">
        <v>52</v>
      </c>
      <c r="L121" t="s">
        <v>24</v>
      </c>
      <c r="M121" t="s">
        <v>32</v>
      </c>
      <c r="N121" t="s">
        <v>70</v>
      </c>
      <c r="O121" s="1">
        <v>45268</v>
      </c>
      <c r="P121" s="2">
        <f t="shared" si="3"/>
        <v>12</v>
      </c>
      <c r="Q121" s="2">
        <v>935.04</v>
      </c>
    </row>
    <row r="122" spans="1:17" x14ac:dyDescent="0.25">
      <c r="A122" t="s">
        <v>68</v>
      </c>
      <c r="B122" t="s">
        <v>28</v>
      </c>
      <c r="C122" s="1">
        <v>36196</v>
      </c>
      <c r="D122" s="2">
        <f t="shared" ca="1" si="2"/>
        <v>26.747222222222224</v>
      </c>
      <c r="E122" t="s">
        <v>39</v>
      </c>
      <c r="F122" t="s">
        <v>30</v>
      </c>
      <c r="G122" t="s">
        <v>69</v>
      </c>
      <c r="H122" t="s">
        <v>67</v>
      </c>
      <c r="I122">
        <v>17</v>
      </c>
      <c r="J122" t="str" cm="1">
        <f t="array" ref="J122">_xlfn.IFS(I122&lt;=10,"0-10",I122&lt;=20,"11-20",I122&gt;20,"20+")</f>
        <v>11-20</v>
      </c>
      <c r="K122" t="s">
        <v>52</v>
      </c>
      <c r="L122" t="s">
        <v>48</v>
      </c>
      <c r="M122" t="s">
        <v>60</v>
      </c>
      <c r="N122" t="s">
        <v>33</v>
      </c>
      <c r="O122" s="1">
        <v>45023</v>
      </c>
      <c r="P122" s="2">
        <f t="shared" si="3"/>
        <v>4</v>
      </c>
      <c r="Q122" s="2">
        <v>2526.67</v>
      </c>
    </row>
    <row r="123" spans="1:17" x14ac:dyDescent="0.25">
      <c r="A123" t="s">
        <v>64</v>
      </c>
      <c r="B123" t="s">
        <v>18</v>
      </c>
      <c r="C123" s="1">
        <v>33580</v>
      </c>
      <c r="D123" s="2">
        <f t="shared" ca="1" si="2"/>
        <v>33.905555555555559</v>
      </c>
      <c r="E123" t="s">
        <v>29</v>
      </c>
      <c r="F123" t="s">
        <v>54</v>
      </c>
      <c r="G123" t="s">
        <v>66</v>
      </c>
      <c r="H123" t="s">
        <v>67</v>
      </c>
      <c r="I123">
        <v>5</v>
      </c>
      <c r="J123" t="str" cm="1">
        <f t="array" ref="J123">_xlfn.IFS(I123&lt;=10,"0-10",I123&lt;=20,"11-20",I123&gt;20,"20+")</f>
        <v>0-10</v>
      </c>
      <c r="K123" t="s">
        <v>52</v>
      </c>
      <c r="L123" t="s">
        <v>24</v>
      </c>
      <c r="M123" t="s">
        <v>37</v>
      </c>
      <c r="N123" t="s">
        <v>70</v>
      </c>
      <c r="O123" s="1">
        <v>45118</v>
      </c>
      <c r="P123" s="2">
        <f t="shared" si="3"/>
        <v>7</v>
      </c>
      <c r="Q123" s="2">
        <v>3902.73</v>
      </c>
    </row>
    <row r="124" spans="1:17" x14ac:dyDescent="0.25">
      <c r="A124" t="s">
        <v>74</v>
      </c>
      <c r="B124" t="s">
        <v>28</v>
      </c>
      <c r="C124" s="1">
        <v>26629</v>
      </c>
      <c r="D124" s="2">
        <f t="shared" ca="1" si="2"/>
        <v>52.93888888888889</v>
      </c>
      <c r="E124" t="s">
        <v>29</v>
      </c>
      <c r="F124" t="s">
        <v>43</v>
      </c>
      <c r="G124" t="s">
        <v>41</v>
      </c>
      <c r="H124" t="s">
        <v>22</v>
      </c>
      <c r="I124">
        <v>24</v>
      </c>
      <c r="J124" t="str" cm="1">
        <f t="array" ref="J124">_xlfn.IFS(I124&lt;=10,"0-10",I124&lt;=20,"11-20",I124&gt;20,"20+")</f>
        <v>20+</v>
      </c>
      <c r="K124" t="s">
        <v>44</v>
      </c>
      <c r="L124" t="s">
        <v>24</v>
      </c>
      <c r="M124" t="s">
        <v>60</v>
      </c>
      <c r="N124" t="s">
        <v>26</v>
      </c>
      <c r="O124" s="1">
        <v>44985</v>
      </c>
      <c r="P124" s="2">
        <f t="shared" si="3"/>
        <v>2</v>
      </c>
      <c r="Q124" s="2">
        <v>2064.0700000000002</v>
      </c>
    </row>
    <row r="125" spans="1:17" x14ac:dyDescent="0.25">
      <c r="A125" t="s">
        <v>93</v>
      </c>
      <c r="B125" t="s">
        <v>18</v>
      </c>
      <c r="C125" s="1">
        <v>32960</v>
      </c>
      <c r="D125" s="2">
        <f t="shared" ca="1" si="2"/>
        <v>35.6</v>
      </c>
      <c r="E125" t="s">
        <v>19</v>
      </c>
      <c r="F125" t="s">
        <v>54</v>
      </c>
      <c r="G125" t="s">
        <v>66</v>
      </c>
      <c r="H125" t="s">
        <v>67</v>
      </c>
      <c r="I125">
        <v>5</v>
      </c>
      <c r="J125" t="str" cm="1">
        <f t="array" ref="J125">_xlfn.IFS(I125&lt;=10,"0-10",I125&lt;=20,"11-20",I125&gt;20,"20+")</f>
        <v>0-10</v>
      </c>
      <c r="K125" t="s">
        <v>52</v>
      </c>
      <c r="L125" t="s">
        <v>45</v>
      </c>
      <c r="M125" t="s">
        <v>37</v>
      </c>
      <c r="N125" t="s">
        <v>26</v>
      </c>
      <c r="O125" s="1">
        <v>45001</v>
      </c>
      <c r="P125" s="2">
        <f t="shared" si="3"/>
        <v>3</v>
      </c>
      <c r="Q125" s="2">
        <v>3492.1</v>
      </c>
    </row>
    <row r="126" spans="1:17" x14ac:dyDescent="0.25">
      <c r="A126" t="s">
        <v>80</v>
      </c>
      <c r="B126" t="s">
        <v>28</v>
      </c>
      <c r="C126" s="1">
        <v>34387</v>
      </c>
      <c r="D126" s="2">
        <f t="shared" ca="1" si="2"/>
        <v>31.7</v>
      </c>
      <c r="E126" t="s">
        <v>19</v>
      </c>
      <c r="F126" t="s">
        <v>50</v>
      </c>
      <c r="G126" t="s">
        <v>41</v>
      </c>
      <c r="H126" t="s">
        <v>51</v>
      </c>
      <c r="I126">
        <v>4</v>
      </c>
      <c r="J126" t="str" cm="1">
        <f t="array" ref="J126">_xlfn.IFS(I126&lt;=10,"0-10",I126&lt;=20,"11-20",I126&gt;20,"20+")</f>
        <v>0-10</v>
      </c>
      <c r="K126" t="s">
        <v>52</v>
      </c>
      <c r="L126" t="s">
        <v>48</v>
      </c>
      <c r="M126" t="s">
        <v>60</v>
      </c>
      <c r="N126" t="s">
        <v>56</v>
      </c>
      <c r="O126" s="1">
        <v>44975</v>
      </c>
      <c r="P126" s="2">
        <f t="shared" si="3"/>
        <v>2</v>
      </c>
      <c r="Q126" s="2">
        <v>4079.52</v>
      </c>
    </row>
    <row r="127" spans="1:17" x14ac:dyDescent="0.25">
      <c r="A127" t="s">
        <v>38</v>
      </c>
      <c r="B127" t="s">
        <v>28</v>
      </c>
      <c r="C127" s="1">
        <v>24333</v>
      </c>
      <c r="D127" s="2">
        <f t="shared" ca="1" si="2"/>
        <v>59.222222222222221</v>
      </c>
      <c r="E127" t="s">
        <v>39</v>
      </c>
      <c r="F127" t="s">
        <v>54</v>
      </c>
      <c r="G127" t="s">
        <v>55</v>
      </c>
      <c r="H127" t="s">
        <v>51</v>
      </c>
      <c r="I127">
        <v>2</v>
      </c>
      <c r="J127" t="str" cm="1">
        <f t="array" ref="J127">_xlfn.IFS(I127&lt;=10,"0-10",I127&lt;=20,"11-20",I127&gt;20,"20+")</f>
        <v>0-10</v>
      </c>
      <c r="K127" t="s">
        <v>44</v>
      </c>
      <c r="L127" t="s">
        <v>45</v>
      </c>
      <c r="M127" t="s">
        <v>25</v>
      </c>
      <c r="N127" t="s">
        <v>46</v>
      </c>
      <c r="O127" s="1">
        <v>45232</v>
      </c>
      <c r="P127" s="2">
        <f t="shared" si="3"/>
        <v>11</v>
      </c>
      <c r="Q127" s="2">
        <v>4672.3</v>
      </c>
    </row>
    <row r="128" spans="1:17" x14ac:dyDescent="0.25">
      <c r="A128" t="s">
        <v>90</v>
      </c>
      <c r="B128" t="s">
        <v>18</v>
      </c>
      <c r="C128" s="1">
        <v>34072</v>
      </c>
      <c r="D128" s="2">
        <f t="shared" ca="1" si="2"/>
        <v>32.55833333333333</v>
      </c>
      <c r="E128" t="s">
        <v>29</v>
      </c>
      <c r="F128" t="s">
        <v>54</v>
      </c>
      <c r="G128" t="s">
        <v>55</v>
      </c>
      <c r="H128" t="s">
        <v>51</v>
      </c>
      <c r="I128">
        <v>2</v>
      </c>
      <c r="J128" t="str" cm="1">
        <f t="array" ref="J128">_xlfn.IFS(I128&lt;=10,"0-10",I128&lt;=20,"11-20",I128&gt;20,"20+")</f>
        <v>0-10</v>
      </c>
      <c r="K128" t="s">
        <v>44</v>
      </c>
      <c r="L128" t="s">
        <v>48</v>
      </c>
      <c r="M128" t="s">
        <v>32</v>
      </c>
      <c r="N128" t="s">
        <v>56</v>
      </c>
      <c r="O128" s="1">
        <v>45243</v>
      </c>
      <c r="P128" s="2">
        <f t="shared" si="3"/>
        <v>11</v>
      </c>
      <c r="Q128" s="2">
        <v>1555.89</v>
      </c>
    </row>
    <row r="129" spans="1:17" x14ac:dyDescent="0.25">
      <c r="A129" t="s">
        <v>96</v>
      </c>
      <c r="B129" t="s">
        <v>28</v>
      </c>
      <c r="C129" s="1">
        <v>18798</v>
      </c>
      <c r="D129" s="2">
        <f t="shared" ca="1" si="2"/>
        <v>74.375</v>
      </c>
      <c r="E129" t="s">
        <v>19</v>
      </c>
      <c r="F129" t="s">
        <v>43</v>
      </c>
      <c r="G129" t="s">
        <v>41</v>
      </c>
      <c r="H129" t="s">
        <v>22</v>
      </c>
      <c r="I129">
        <v>24</v>
      </c>
      <c r="J129" t="str" cm="1">
        <f t="array" ref="J129">_xlfn.IFS(I129&lt;=10,"0-10",I129&lt;=20,"11-20",I129&gt;20,"20+")</f>
        <v>20+</v>
      </c>
      <c r="K129" t="s">
        <v>44</v>
      </c>
      <c r="L129" t="s">
        <v>58</v>
      </c>
      <c r="M129" t="s">
        <v>60</v>
      </c>
      <c r="N129" t="s">
        <v>33</v>
      </c>
      <c r="O129" s="1">
        <v>45031</v>
      </c>
      <c r="P129" s="2">
        <f t="shared" si="3"/>
        <v>4</v>
      </c>
      <c r="Q129" s="2">
        <v>2296.92</v>
      </c>
    </row>
    <row r="130" spans="1:17" x14ac:dyDescent="0.25">
      <c r="A130" t="s">
        <v>75</v>
      </c>
      <c r="B130" t="s">
        <v>28</v>
      </c>
      <c r="C130" s="1">
        <v>23734</v>
      </c>
      <c r="D130" s="2">
        <f t="shared" ca="1" si="2"/>
        <v>60.863888888888887</v>
      </c>
      <c r="E130" t="s">
        <v>35</v>
      </c>
      <c r="F130" t="s">
        <v>40</v>
      </c>
      <c r="G130" t="s">
        <v>41</v>
      </c>
      <c r="H130" t="s">
        <v>22</v>
      </c>
      <c r="I130">
        <v>23</v>
      </c>
      <c r="J130" t="str" cm="1">
        <f t="array" ref="J130">_xlfn.IFS(I130&lt;=10,"0-10",I130&lt;=20,"11-20",I130&gt;20,"20+")</f>
        <v>20+</v>
      </c>
      <c r="K130" t="s">
        <v>23</v>
      </c>
      <c r="L130" t="s">
        <v>48</v>
      </c>
      <c r="M130" t="s">
        <v>37</v>
      </c>
      <c r="N130" t="s">
        <v>70</v>
      </c>
      <c r="O130" s="1">
        <v>45163</v>
      </c>
      <c r="P130" s="2">
        <f t="shared" si="3"/>
        <v>8</v>
      </c>
      <c r="Q130" s="2">
        <v>1185.8699999999999</v>
      </c>
    </row>
    <row r="131" spans="1:17" x14ac:dyDescent="0.25">
      <c r="A131" t="s">
        <v>94</v>
      </c>
      <c r="B131" t="s">
        <v>28</v>
      </c>
      <c r="C131" s="1">
        <v>33359</v>
      </c>
      <c r="D131" s="2">
        <f t="shared" ref="D131:D194" ca="1" si="4">YEARFRAC(C131,TODAY(),)</f>
        <v>34.508333333333333</v>
      </c>
      <c r="E131" t="s">
        <v>19</v>
      </c>
      <c r="F131" t="s">
        <v>40</v>
      </c>
      <c r="G131" t="s">
        <v>41</v>
      </c>
      <c r="H131" t="s">
        <v>22</v>
      </c>
      <c r="I131">
        <v>23</v>
      </c>
      <c r="J131" t="str" cm="1">
        <f t="array" ref="J131">_xlfn.IFS(I131&lt;=10,"0-10",I131&lt;=20,"11-20",I131&gt;20,"20+")</f>
        <v>20+</v>
      </c>
      <c r="K131" t="s">
        <v>23</v>
      </c>
      <c r="L131" t="s">
        <v>45</v>
      </c>
      <c r="M131" t="s">
        <v>32</v>
      </c>
      <c r="N131" t="s">
        <v>33</v>
      </c>
      <c r="O131" s="1">
        <v>44980</v>
      </c>
      <c r="P131" s="2">
        <f t="shared" ref="P131:P194" si="5">MONTH(O131)</f>
        <v>2</v>
      </c>
      <c r="Q131" s="2">
        <v>4966.18</v>
      </c>
    </row>
    <row r="132" spans="1:17" x14ac:dyDescent="0.25">
      <c r="A132" t="s">
        <v>74</v>
      </c>
      <c r="B132" t="s">
        <v>28</v>
      </c>
      <c r="C132" s="1">
        <v>26629</v>
      </c>
      <c r="D132" s="2">
        <f t="shared" ca="1" si="4"/>
        <v>52.93888888888889</v>
      </c>
      <c r="E132" t="s">
        <v>29</v>
      </c>
      <c r="F132" t="s">
        <v>43</v>
      </c>
      <c r="G132" t="s">
        <v>21</v>
      </c>
      <c r="H132" t="s">
        <v>22</v>
      </c>
      <c r="I132">
        <v>19</v>
      </c>
      <c r="J132" t="str" cm="1">
        <f t="array" ref="J132">_xlfn.IFS(I132&lt;=10,"0-10",I132&lt;=20,"11-20",I132&gt;20,"20+")</f>
        <v>11-20</v>
      </c>
      <c r="K132" t="s">
        <v>44</v>
      </c>
      <c r="L132" t="s">
        <v>24</v>
      </c>
      <c r="M132" t="s">
        <v>32</v>
      </c>
      <c r="N132" t="s">
        <v>26</v>
      </c>
      <c r="O132" s="1">
        <v>45057</v>
      </c>
      <c r="P132" s="2">
        <f t="shared" si="5"/>
        <v>5</v>
      </c>
      <c r="Q132" s="2">
        <v>4671.5</v>
      </c>
    </row>
    <row r="133" spans="1:17" x14ac:dyDescent="0.25">
      <c r="A133" t="s">
        <v>88</v>
      </c>
      <c r="B133" t="s">
        <v>18</v>
      </c>
      <c r="C133" s="1">
        <v>37778</v>
      </c>
      <c r="D133" s="2">
        <f t="shared" ca="1" si="4"/>
        <v>22.411111111111111</v>
      </c>
      <c r="E133" t="s">
        <v>29</v>
      </c>
      <c r="F133" t="s">
        <v>43</v>
      </c>
      <c r="G133" t="s">
        <v>41</v>
      </c>
      <c r="H133" t="s">
        <v>22</v>
      </c>
      <c r="I133">
        <v>24</v>
      </c>
      <c r="J133" t="str" cm="1">
        <f t="array" ref="J133">_xlfn.IFS(I133&lt;=10,"0-10",I133&lt;=20,"11-20",I133&gt;20,"20+")</f>
        <v>20+</v>
      </c>
      <c r="K133" t="s">
        <v>44</v>
      </c>
      <c r="L133" t="s">
        <v>48</v>
      </c>
      <c r="M133" t="s">
        <v>37</v>
      </c>
      <c r="N133" t="s">
        <v>56</v>
      </c>
      <c r="O133" s="1">
        <v>45133</v>
      </c>
      <c r="P133" s="2">
        <f t="shared" si="5"/>
        <v>7</v>
      </c>
      <c r="Q133" s="2">
        <v>2929.81</v>
      </c>
    </row>
    <row r="134" spans="1:17" x14ac:dyDescent="0.25">
      <c r="A134" t="s">
        <v>34</v>
      </c>
      <c r="B134" t="s">
        <v>28</v>
      </c>
      <c r="C134" s="1">
        <v>30399</v>
      </c>
      <c r="D134" s="2">
        <f t="shared" ca="1" si="4"/>
        <v>42.611111111111114</v>
      </c>
      <c r="E134" t="s">
        <v>35</v>
      </c>
      <c r="F134" t="s">
        <v>30</v>
      </c>
      <c r="G134" t="s">
        <v>69</v>
      </c>
      <c r="H134" t="s">
        <v>67</v>
      </c>
      <c r="I134">
        <v>17</v>
      </c>
      <c r="J134" t="str" cm="1">
        <f t="array" ref="J134">_xlfn.IFS(I134&lt;=10,"0-10",I134&lt;=20,"11-20",I134&gt;20,"20+")</f>
        <v>11-20</v>
      </c>
      <c r="K134" t="s">
        <v>52</v>
      </c>
      <c r="L134" t="s">
        <v>48</v>
      </c>
      <c r="M134" t="s">
        <v>60</v>
      </c>
      <c r="N134" t="s">
        <v>56</v>
      </c>
      <c r="O134" s="1">
        <v>45008</v>
      </c>
      <c r="P134" s="2">
        <f t="shared" si="5"/>
        <v>3</v>
      </c>
      <c r="Q134" s="2">
        <v>4289.1499999999996</v>
      </c>
    </row>
    <row r="135" spans="1:17" x14ac:dyDescent="0.25">
      <c r="A135" t="s">
        <v>38</v>
      </c>
      <c r="B135" t="s">
        <v>28</v>
      </c>
      <c r="C135" s="1">
        <v>24333</v>
      </c>
      <c r="D135" s="2">
        <f t="shared" ca="1" si="4"/>
        <v>59.222222222222221</v>
      </c>
      <c r="E135" t="s">
        <v>39</v>
      </c>
      <c r="F135" t="s">
        <v>40</v>
      </c>
      <c r="G135" t="s">
        <v>41</v>
      </c>
      <c r="H135" t="s">
        <v>22</v>
      </c>
      <c r="I135">
        <v>23</v>
      </c>
      <c r="J135" t="str" cm="1">
        <f t="array" ref="J135">_xlfn.IFS(I135&lt;=10,"0-10",I135&lt;=20,"11-20",I135&gt;20,"20+")</f>
        <v>20+</v>
      </c>
      <c r="K135" t="s">
        <v>23</v>
      </c>
      <c r="L135" t="s">
        <v>36</v>
      </c>
      <c r="M135" t="s">
        <v>25</v>
      </c>
      <c r="N135" t="s">
        <v>56</v>
      </c>
      <c r="O135" s="1">
        <v>45216</v>
      </c>
      <c r="P135" s="2">
        <f t="shared" si="5"/>
        <v>10</v>
      </c>
      <c r="Q135" s="2">
        <v>2844.31</v>
      </c>
    </row>
    <row r="136" spans="1:17" x14ac:dyDescent="0.25">
      <c r="A136" t="s">
        <v>61</v>
      </c>
      <c r="B136" t="s">
        <v>28</v>
      </c>
      <c r="C136" s="1">
        <v>20219</v>
      </c>
      <c r="D136" s="2">
        <f t="shared" ca="1" si="4"/>
        <v>70.483333333333334</v>
      </c>
      <c r="E136" t="s">
        <v>29</v>
      </c>
      <c r="F136" t="s">
        <v>20</v>
      </c>
      <c r="G136" t="s">
        <v>69</v>
      </c>
      <c r="H136" t="s">
        <v>67</v>
      </c>
      <c r="I136">
        <v>4</v>
      </c>
      <c r="J136" t="str" cm="1">
        <f t="array" ref="J136">_xlfn.IFS(I136&lt;=10,"0-10",I136&lt;=20,"11-20",I136&gt;20,"20+")</f>
        <v>0-10</v>
      </c>
      <c r="K136" t="s">
        <v>23</v>
      </c>
      <c r="L136" t="s">
        <v>24</v>
      </c>
      <c r="M136" t="s">
        <v>25</v>
      </c>
      <c r="N136" t="s">
        <v>33</v>
      </c>
      <c r="O136" s="1">
        <v>45178</v>
      </c>
      <c r="P136" s="2">
        <f t="shared" si="5"/>
        <v>9</v>
      </c>
      <c r="Q136" s="2">
        <v>3306.14</v>
      </c>
    </row>
    <row r="137" spans="1:17" x14ac:dyDescent="0.25">
      <c r="A137" t="s">
        <v>93</v>
      </c>
      <c r="B137" t="s">
        <v>18</v>
      </c>
      <c r="C137" s="1">
        <v>32960</v>
      </c>
      <c r="D137" s="2">
        <f t="shared" ca="1" si="4"/>
        <v>35.6</v>
      </c>
      <c r="E137" t="s">
        <v>19</v>
      </c>
      <c r="F137" t="s">
        <v>20</v>
      </c>
      <c r="G137" t="s">
        <v>21</v>
      </c>
      <c r="H137" t="s">
        <v>22</v>
      </c>
      <c r="I137">
        <v>4</v>
      </c>
      <c r="J137" t="str" cm="1">
        <f t="array" ref="J137">_xlfn.IFS(I137&lt;=10,"0-10",I137&lt;=20,"11-20",I137&gt;20,"20+")</f>
        <v>0-10</v>
      </c>
      <c r="K137" t="s">
        <v>23</v>
      </c>
      <c r="L137" t="s">
        <v>58</v>
      </c>
      <c r="M137" t="s">
        <v>60</v>
      </c>
      <c r="N137" t="s">
        <v>26</v>
      </c>
      <c r="O137" s="1">
        <v>45059</v>
      </c>
      <c r="P137" s="2">
        <f t="shared" si="5"/>
        <v>5</v>
      </c>
      <c r="Q137" s="2">
        <v>901.06</v>
      </c>
    </row>
    <row r="138" spans="1:17" x14ac:dyDescent="0.25">
      <c r="A138" t="s">
        <v>83</v>
      </c>
      <c r="B138" t="s">
        <v>28</v>
      </c>
      <c r="C138" s="1">
        <v>27538</v>
      </c>
      <c r="D138" s="2">
        <f t="shared" ca="1" si="4"/>
        <v>50.444444444444443</v>
      </c>
      <c r="E138" t="s">
        <v>19</v>
      </c>
      <c r="F138" t="s">
        <v>30</v>
      </c>
      <c r="G138" t="s">
        <v>69</v>
      </c>
      <c r="H138" t="s">
        <v>67</v>
      </c>
      <c r="I138">
        <v>17</v>
      </c>
      <c r="J138" t="str" cm="1">
        <f t="array" ref="J138">_xlfn.IFS(I138&lt;=10,"0-10",I138&lt;=20,"11-20",I138&gt;20,"20+")</f>
        <v>11-20</v>
      </c>
      <c r="K138" t="s">
        <v>52</v>
      </c>
      <c r="L138" t="s">
        <v>45</v>
      </c>
      <c r="M138" t="s">
        <v>32</v>
      </c>
      <c r="N138" t="s">
        <v>70</v>
      </c>
      <c r="O138" s="1">
        <v>45224</v>
      </c>
      <c r="P138" s="2">
        <f t="shared" si="5"/>
        <v>10</v>
      </c>
      <c r="Q138" s="2">
        <v>3898.72</v>
      </c>
    </row>
    <row r="139" spans="1:17" x14ac:dyDescent="0.25">
      <c r="A139" t="s">
        <v>74</v>
      </c>
      <c r="B139" t="s">
        <v>28</v>
      </c>
      <c r="C139" s="1">
        <v>26629</v>
      </c>
      <c r="D139" s="2">
        <f t="shared" ca="1" si="4"/>
        <v>52.93888888888889</v>
      </c>
      <c r="E139" t="s">
        <v>29</v>
      </c>
      <c r="F139" t="s">
        <v>50</v>
      </c>
      <c r="G139" t="s">
        <v>41</v>
      </c>
      <c r="H139" t="s">
        <v>51</v>
      </c>
      <c r="I139">
        <v>4</v>
      </c>
      <c r="J139" t="str" cm="1">
        <f t="array" ref="J139">_xlfn.IFS(I139&lt;=10,"0-10",I139&lt;=20,"11-20",I139&gt;20,"20+")</f>
        <v>0-10</v>
      </c>
      <c r="K139" t="s">
        <v>52</v>
      </c>
      <c r="L139" t="s">
        <v>58</v>
      </c>
      <c r="M139" t="s">
        <v>32</v>
      </c>
      <c r="N139" t="s">
        <v>70</v>
      </c>
      <c r="O139" s="1">
        <v>45286</v>
      </c>
      <c r="P139" s="2">
        <f t="shared" si="5"/>
        <v>12</v>
      </c>
      <c r="Q139" s="2">
        <v>1074.71</v>
      </c>
    </row>
    <row r="140" spans="1:17" x14ac:dyDescent="0.25">
      <c r="A140" t="s">
        <v>78</v>
      </c>
      <c r="B140" t="s">
        <v>28</v>
      </c>
      <c r="C140" s="1">
        <v>35790</v>
      </c>
      <c r="D140" s="2">
        <f t="shared" ca="1" si="4"/>
        <v>27.855555555555554</v>
      </c>
      <c r="E140" t="s">
        <v>29</v>
      </c>
      <c r="F140" t="s">
        <v>20</v>
      </c>
      <c r="G140" t="s">
        <v>69</v>
      </c>
      <c r="H140" t="s">
        <v>67</v>
      </c>
      <c r="I140">
        <v>4</v>
      </c>
      <c r="J140" t="str" cm="1">
        <f t="array" ref="J140">_xlfn.IFS(I140&lt;=10,"0-10",I140&lt;=20,"11-20",I140&gt;20,"20+")</f>
        <v>0-10</v>
      </c>
      <c r="K140" t="s">
        <v>23</v>
      </c>
      <c r="L140" t="s">
        <v>24</v>
      </c>
      <c r="M140" t="s">
        <v>32</v>
      </c>
      <c r="N140" t="s">
        <v>33</v>
      </c>
      <c r="O140" s="1">
        <v>45209</v>
      </c>
      <c r="P140" s="2">
        <f t="shared" si="5"/>
        <v>10</v>
      </c>
      <c r="Q140" s="2">
        <v>4217.3</v>
      </c>
    </row>
    <row r="141" spans="1:17" x14ac:dyDescent="0.25">
      <c r="A141" t="s">
        <v>64</v>
      </c>
      <c r="B141" t="s">
        <v>18</v>
      </c>
      <c r="C141" s="1">
        <v>33580</v>
      </c>
      <c r="D141" s="2">
        <f t="shared" ca="1" si="4"/>
        <v>33.905555555555559</v>
      </c>
      <c r="E141" t="s">
        <v>29</v>
      </c>
      <c r="F141" t="s">
        <v>20</v>
      </c>
      <c r="G141" t="s">
        <v>69</v>
      </c>
      <c r="H141" t="s">
        <v>67</v>
      </c>
      <c r="I141">
        <v>4</v>
      </c>
      <c r="J141" t="str" cm="1">
        <f t="array" ref="J141">_xlfn.IFS(I141&lt;=10,"0-10",I141&lt;=20,"11-20",I141&gt;20,"20+")</f>
        <v>0-10</v>
      </c>
      <c r="K141" t="s">
        <v>23</v>
      </c>
      <c r="L141" t="s">
        <v>48</v>
      </c>
      <c r="M141" t="s">
        <v>32</v>
      </c>
      <c r="N141" t="s">
        <v>56</v>
      </c>
      <c r="O141" s="1">
        <v>44962</v>
      </c>
      <c r="P141" s="2">
        <f t="shared" si="5"/>
        <v>2</v>
      </c>
      <c r="Q141" s="2">
        <v>4019.13</v>
      </c>
    </row>
    <row r="142" spans="1:17" x14ac:dyDescent="0.25">
      <c r="A142" t="s">
        <v>96</v>
      </c>
      <c r="B142" t="s">
        <v>28</v>
      </c>
      <c r="C142" s="1">
        <v>18798</v>
      </c>
      <c r="D142" s="2">
        <f t="shared" ca="1" si="4"/>
        <v>74.375</v>
      </c>
      <c r="E142" t="s">
        <v>19</v>
      </c>
      <c r="F142" t="s">
        <v>43</v>
      </c>
      <c r="G142" t="s">
        <v>41</v>
      </c>
      <c r="H142" t="s">
        <v>22</v>
      </c>
      <c r="I142">
        <v>24</v>
      </c>
      <c r="J142" t="str" cm="1">
        <f t="array" ref="J142">_xlfn.IFS(I142&lt;=10,"0-10",I142&lt;=20,"11-20",I142&gt;20,"20+")</f>
        <v>20+</v>
      </c>
      <c r="K142" t="s">
        <v>44</v>
      </c>
      <c r="L142" t="s">
        <v>48</v>
      </c>
      <c r="M142" t="s">
        <v>60</v>
      </c>
      <c r="N142" t="s">
        <v>46</v>
      </c>
      <c r="O142" s="1">
        <v>45092</v>
      </c>
      <c r="P142" s="2">
        <f t="shared" si="5"/>
        <v>6</v>
      </c>
      <c r="Q142" s="2">
        <v>3689.35</v>
      </c>
    </row>
    <row r="143" spans="1:17" x14ac:dyDescent="0.25">
      <c r="A143" t="s">
        <v>83</v>
      </c>
      <c r="B143" t="s">
        <v>28</v>
      </c>
      <c r="C143" s="1">
        <v>27538</v>
      </c>
      <c r="D143" s="2">
        <f t="shared" ca="1" si="4"/>
        <v>50.444444444444443</v>
      </c>
      <c r="E143" t="s">
        <v>19</v>
      </c>
      <c r="F143" t="s">
        <v>43</v>
      </c>
      <c r="G143" t="s">
        <v>21</v>
      </c>
      <c r="H143" t="s">
        <v>22</v>
      </c>
      <c r="I143">
        <v>19</v>
      </c>
      <c r="J143" t="str" cm="1">
        <f t="array" ref="J143">_xlfn.IFS(I143&lt;=10,"0-10",I143&lt;=20,"11-20",I143&gt;20,"20+")</f>
        <v>11-20</v>
      </c>
      <c r="K143" t="s">
        <v>44</v>
      </c>
      <c r="L143" t="s">
        <v>24</v>
      </c>
      <c r="M143" t="s">
        <v>32</v>
      </c>
      <c r="N143" t="s">
        <v>33</v>
      </c>
      <c r="O143" s="1">
        <v>45231</v>
      </c>
      <c r="P143" s="2">
        <f t="shared" si="5"/>
        <v>11</v>
      </c>
      <c r="Q143" s="2">
        <v>662.72</v>
      </c>
    </row>
    <row r="144" spans="1:17" x14ac:dyDescent="0.25">
      <c r="A144" t="s">
        <v>64</v>
      </c>
      <c r="B144" t="s">
        <v>18</v>
      </c>
      <c r="C144" s="1">
        <v>33580</v>
      </c>
      <c r="D144" s="2">
        <f t="shared" ca="1" si="4"/>
        <v>33.905555555555559</v>
      </c>
      <c r="E144" t="s">
        <v>29</v>
      </c>
      <c r="F144" t="s">
        <v>50</v>
      </c>
      <c r="G144" t="s">
        <v>41</v>
      </c>
      <c r="H144" t="s">
        <v>51</v>
      </c>
      <c r="I144">
        <v>4</v>
      </c>
      <c r="J144" t="str" cm="1">
        <f t="array" ref="J144">_xlfn.IFS(I144&lt;=10,"0-10",I144&lt;=20,"11-20",I144&gt;20,"20+")</f>
        <v>0-10</v>
      </c>
      <c r="K144" t="s">
        <v>52</v>
      </c>
      <c r="L144" t="s">
        <v>48</v>
      </c>
      <c r="M144" t="s">
        <v>37</v>
      </c>
      <c r="N144" t="s">
        <v>33</v>
      </c>
      <c r="O144" s="1">
        <v>45190</v>
      </c>
      <c r="P144" s="2">
        <f t="shared" si="5"/>
        <v>9</v>
      </c>
      <c r="Q144" s="2">
        <v>1864.08</v>
      </c>
    </row>
    <row r="145" spans="1:17" x14ac:dyDescent="0.25">
      <c r="A145" t="s">
        <v>99</v>
      </c>
      <c r="B145" t="s">
        <v>28</v>
      </c>
      <c r="C145" s="1">
        <v>26278</v>
      </c>
      <c r="D145" s="2">
        <f t="shared" ca="1" si="4"/>
        <v>53.897222222222226</v>
      </c>
      <c r="E145" t="s">
        <v>35</v>
      </c>
      <c r="F145" t="s">
        <v>40</v>
      </c>
      <c r="G145" t="s">
        <v>41</v>
      </c>
      <c r="H145" t="s">
        <v>22</v>
      </c>
      <c r="I145">
        <v>23</v>
      </c>
      <c r="J145" t="str" cm="1">
        <f t="array" ref="J145">_xlfn.IFS(I145&lt;=10,"0-10",I145&lt;=20,"11-20",I145&gt;20,"20+")</f>
        <v>20+</v>
      </c>
      <c r="K145" t="s">
        <v>23</v>
      </c>
      <c r="L145" t="s">
        <v>48</v>
      </c>
      <c r="M145" t="s">
        <v>32</v>
      </c>
      <c r="N145" t="s">
        <v>26</v>
      </c>
      <c r="O145" s="1">
        <v>45154</v>
      </c>
      <c r="P145" s="2">
        <f t="shared" si="5"/>
        <v>8</v>
      </c>
      <c r="Q145" s="2">
        <v>1684.01</v>
      </c>
    </row>
    <row r="146" spans="1:17" x14ac:dyDescent="0.25">
      <c r="A146" t="s">
        <v>97</v>
      </c>
      <c r="B146" t="s">
        <v>18</v>
      </c>
      <c r="C146" s="1">
        <v>32667</v>
      </c>
      <c r="D146" s="2">
        <f t="shared" ca="1" si="4"/>
        <v>36.405555555555559</v>
      </c>
      <c r="E146" t="s">
        <v>29</v>
      </c>
      <c r="F146" t="s">
        <v>43</v>
      </c>
      <c r="G146" t="s">
        <v>41</v>
      </c>
      <c r="H146" t="s">
        <v>22</v>
      </c>
      <c r="I146">
        <v>24</v>
      </c>
      <c r="J146" t="str" cm="1">
        <f t="array" ref="J146">_xlfn.IFS(I146&lt;=10,"0-10",I146&lt;=20,"11-20",I146&gt;20,"20+")</f>
        <v>20+</v>
      </c>
      <c r="K146" t="s">
        <v>44</v>
      </c>
      <c r="L146" t="s">
        <v>48</v>
      </c>
      <c r="M146" t="s">
        <v>25</v>
      </c>
      <c r="N146" t="s">
        <v>70</v>
      </c>
      <c r="O146" s="1">
        <v>45241</v>
      </c>
      <c r="P146" s="2">
        <f t="shared" si="5"/>
        <v>11</v>
      </c>
      <c r="Q146" s="2">
        <v>2120.61</v>
      </c>
    </row>
    <row r="147" spans="1:17" x14ac:dyDescent="0.25">
      <c r="A147" t="s">
        <v>72</v>
      </c>
      <c r="B147" t="s">
        <v>28</v>
      </c>
      <c r="C147" s="1">
        <v>34072</v>
      </c>
      <c r="D147" s="2">
        <f t="shared" ca="1" si="4"/>
        <v>32.55833333333333</v>
      </c>
      <c r="E147" t="s">
        <v>29</v>
      </c>
      <c r="F147" t="s">
        <v>40</v>
      </c>
      <c r="G147" t="s">
        <v>41</v>
      </c>
      <c r="H147" t="s">
        <v>22</v>
      </c>
      <c r="I147">
        <v>23</v>
      </c>
      <c r="J147" t="str" cm="1">
        <f t="array" ref="J147">_xlfn.IFS(I147&lt;=10,"0-10",I147&lt;=20,"11-20",I147&gt;20,"20+")</f>
        <v>20+</v>
      </c>
      <c r="K147" t="s">
        <v>23</v>
      </c>
      <c r="L147" t="s">
        <v>45</v>
      </c>
      <c r="M147" t="s">
        <v>32</v>
      </c>
      <c r="N147" t="s">
        <v>33</v>
      </c>
      <c r="O147" s="1">
        <v>44931</v>
      </c>
      <c r="P147" s="2">
        <f t="shared" si="5"/>
        <v>1</v>
      </c>
      <c r="Q147" s="2">
        <v>894.39</v>
      </c>
    </row>
    <row r="148" spans="1:17" x14ac:dyDescent="0.25">
      <c r="A148" t="s">
        <v>71</v>
      </c>
      <c r="B148" t="s">
        <v>28</v>
      </c>
      <c r="C148" s="1">
        <v>24895</v>
      </c>
      <c r="D148" s="2">
        <f t="shared" ca="1" si="4"/>
        <v>57.68611111111111</v>
      </c>
      <c r="E148" t="s">
        <v>29</v>
      </c>
      <c r="F148" t="s">
        <v>43</v>
      </c>
      <c r="G148" t="s">
        <v>41</v>
      </c>
      <c r="H148" t="s">
        <v>22</v>
      </c>
      <c r="I148">
        <v>24</v>
      </c>
      <c r="J148" t="str" cm="1">
        <f t="array" ref="J148">_xlfn.IFS(I148&lt;=10,"0-10",I148&lt;=20,"11-20",I148&gt;20,"20+")</f>
        <v>20+</v>
      </c>
      <c r="K148" t="s">
        <v>44</v>
      </c>
      <c r="L148" t="s">
        <v>45</v>
      </c>
      <c r="M148" t="s">
        <v>60</v>
      </c>
      <c r="N148" t="s">
        <v>33</v>
      </c>
      <c r="O148" s="1">
        <v>45243</v>
      </c>
      <c r="P148" s="2">
        <f t="shared" si="5"/>
        <v>11</v>
      </c>
      <c r="Q148" s="2">
        <v>4716.3100000000004</v>
      </c>
    </row>
    <row r="149" spans="1:17" x14ac:dyDescent="0.25">
      <c r="A149" t="s">
        <v>82</v>
      </c>
      <c r="B149" t="s">
        <v>28</v>
      </c>
      <c r="C149" s="1">
        <v>31791</v>
      </c>
      <c r="D149" s="2">
        <f t="shared" ca="1" si="4"/>
        <v>38.805555555555557</v>
      </c>
      <c r="E149" t="s">
        <v>19</v>
      </c>
      <c r="F149" t="s">
        <v>43</v>
      </c>
      <c r="G149" t="s">
        <v>41</v>
      </c>
      <c r="H149" t="s">
        <v>22</v>
      </c>
      <c r="I149">
        <v>24</v>
      </c>
      <c r="J149" t="str" cm="1">
        <f t="array" ref="J149">_xlfn.IFS(I149&lt;=10,"0-10",I149&lt;=20,"11-20",I149&gt;20,"20+")</f>
        <v>20+</v>
      </c>
      <c r="K149" t="s">
        <v>44</v>
      </c>
      <c r="L149" t="s">
        <v>36</v>
      </c>
      <c r="M149" t="s">
        <v>25</v>
      </c>
      <c r="N149" t="s">
        <v>56</v>
      </c>
      <c r="O149" s="1">
        <v>45266</v>
      </c>
      <c r="P149" s="2">
        <f t="shared" si="5"/>
        <v>12</v>
      </c>
      <c r="Q149" s="2">
        <v>2992.11</v>
      </c>
    </row>
    <row r="150" spans="1:17" x14ac:dyDescent="0.25">
      <c r="A150" t="s">
        <v>83</v>
      </c>
      <c r="B150" t="s">
        <v>28</v>
      </c>
      <c r="C150" s="1">
        <v>27538</v>
      </c>
      <c r="D150" s="2">
        <f t="shared" ca="1" si="4"/>
        <v>50.444444444444443</v>
      </c>
      <c r="E150" t="s">
        <v>19</v>
      </c>
      <c r="F150" t="s">
        <v>43</v>
      </c>
      <c r="G150" t="s">
        <v>41</v>
      </c>
      <c r="H150" t="s">
        <v>22</v>
      </c>
      <c r="I150">
        <v>24</v>
      </c>
      <c r="J150" t="str" cm="1">
        <f t="array" ref="J150">_xlfn.IFS(I150&lt;=10,"0-10",I150&lt;=20,"11-20",I150&gt;20,"20+")</f>
        <v>20+</v>
      </c>
      <c r="K150" t="s">
        <v>44</v>
      </c>
      <c r="L150" t="s">
        <v>58</v>
      </c>
      <c r="M150" t="s">
        <v>60</v>
      </c>
      <c r="N150" t="s">
        <v>56</v>
      </c>
      <c r="O150" s="1">
        <v>45133</v>
      </c>
      <c r="P150" s="2">
        <f t="shared" si="5"/>
        <v>7</v>
      </c>
      <c r="Q150" s="2">
        <v>1874.86</v>
      </c>
    </row>
    <row r="151" spans="1:17" x14ac:dyDescent="0.25">
      <c r="A151" t="s">
        <v>73</v>
      </c>
      <c r="B151" t="s">
        <v>28</v>
      </c>
      <c r="C151" s="1">
        <v>35046</v>
      </c>
      <c r="D151" s="2">
        <f t="shared" ca="1" si="4"/>
        <v>29.891666666666666</v>
      </c>
      <c r="E151" t="s">
        <v>19</v>
      </c>
      <c r="F151" t="s">
        <v>43</v>
      </c>
      <c r="G151" t="s">
        <v>21</v>
      </c>
      <c r="H151" t="s">
        <v>22</v>
      </c>
      <c r="I151">
        <v>19</v>
      </c>
      <c r="J151" t="str" cm="1">
        <f t="array" ref="J151">_xlfn.IFS(I151&lt;=10,"0-10",I151&lt;=20,"11-20",I151&gt;20,"20+")</f>
        <v>11-20</v>
      </c>
      <c r="K151" t="s">
        <v>44</v>
      </c>
      <c r="L151" t="s">
        <v>24</v>
      </c>
      <c r="M151" t="s">
        <v>60</v>
      </c>
      <c r="N151" t="s">
        <v>46</v>
      </c>
      <c r="O151" s="1">
        <v>45154</v>
      </c>
      <c r="P151" s="2">
        <f t="shared" si="5"/>
        <v>8</v>
      </c>
      <c r="Q151" s="2">
        <v>2286.42</v>
      </c>
    </row>
    <row r="152" spans="1:17" x14ac:dyDescent="0.25">
      <c r="A152" t="s">
        <v>53</v>
      </c>
      <c r="B152" t="s">
        <v>28</v>
      </c>
      <c r="C152" s="1">
        <v>36729</v>
      </c>
      <c r="D152" s="2">
        <f t="shared" ca="1" si="4"/>
        <v>25.283333333333335</v>
      </c>
      <c r="E152" t="s">
        <v>35</v>
      </c>
      <c r="F152" t="s">
        <v>43</v>
      </c>
      <c r="G152" t="s">
        <v>41</v>
      </c>
      <c r="H152" t="s">
        <v>22</v>
      </c>
      <c r="I152">
        <v>24</v>
      </c>
      <c r="J152" t="str" cm="1">
        <f t="array" ref="J152">_xlfn.IFS(I152&lt;=10,"0-10",I152&lt;=20,"11-20",I152&gt;20,"20+")</f>
        <v>20+</v>
      </c>
      <c r="K152" t="s">
        <v>44</v>
      </c>
      <c r="L152" t="s">
        <v>24</v>
      </c>
      <c r="M152" t="s">
        <v>25</v>
      </c>
      <c r="N152" t="s">
        <v>26</v>
      </c>
      <c r="O152" s="1">
        <v>44954</v>
      </c>
      <c r="P152" s="2">
        <f t="shared" si="5"/>
        <v>1</v>
      </c>
      <c r="Q152" s="2">
        <v>2512.41</v>
      </c>
    </row>
    <row r="153" spans="1:17" x14ac:dyDescent="0.25">
      <c r="A153" t="s">
        <v>59</v>
      </c>
      <c r="B153" t="s">
        <v>28</v>
      </c>
      <c r="C153" s="1">
        <v>22090</v>
      </c>
      <c r="D153" s="2">
        <f t="shared" ca="1" si="4"/>
        <v>65.363888888888894</v>
      </c>
      <c r="E153" t="s">
        <v>29</v>
      </c>
      <c r="F153" t="s">
        <v>30</v>
      </c>
      <c r="G153" t="s">
        <v>31</v>
      </c>
      <c r="H153" t="s">
        <v>22</v>
      </c>
      <c r="I153">
        <v>28</v>
      </c>
      <c r="J153" t="str" cm="1">
        <f t="array" ref="J153">_xlfn.IFS(I153&lt;=10,"0-10",I153&lt;=20,"11-20",I153&gt;20,"20+")</f>
        <v>20+</v>
      </c>
      <c r="K153" t="s">
        <v>23</v>
      </c>
      <c r="L153" t="s">
        <v>24</v>
      </c>
      <c r="M153" t="s">
        <v>60</v>
      </c>
      <c r="N153" t="s">
        <v>46</v>
      </c>
      <c r="O153" s="1">
        <v>45030</v>
      </c>
      <c r="P153" s="2">
        <f t="shared" si="5"/>
        <v>4</v>
      </c>
      <c r="Q153" s="2">
        <v>3202.67</v>
      </c>
    </row>
    <row r="154" spans="1:17" x14ac:dyDescent="0.25">
      <c r="A154" t="s">
        <v>90</v>
      </c>
      <c r="B154" t="s">
        <v>18</v>
      </c>
      <c r="C154" s="1">
        <v>34072</v>
      </c>
      <c r="D154" s="2">
        <f t="shared" ca="1" si="4"/>
        <v>32.55833333333333</v>
      </c>
      <c r="E154" t="s">
        <v>29</v>
      </c>
      <c r="F154" t="s">
        <v>20</v>
      </c>
      <c r="G154" t="s">
        <v>21</v>
      </c>
      <c r="H154" t="s">
        <v>22</v>
      </c>
      <c r="I154">
        <v>4</v>
      </c>
      <c r="J154" t="str" cm="1">
        <f t="array" ref="J154">_xlfn.IFS(I154&lt;=10,"0-10",I154&lt;=20,"11-20",I154&gt;20,"20+")</f>
        <v>0-10</v>
      </c>
      <c r="K154" t="s">
        <v>23</v>
      </c>
      <c r="L154" t="s">
        <v>36</v>
      </c>
      <c r="M154" t="s">
        <v>60</v>
      </c>
      <c r="N154" t="s">
        <v>56</v>
      </c>
      <c r="O154" s="1">
        <v>45115</v>
      </c>
      <c r="P154" s="2">
        <f t="shared" si="5"/>
        <v>7</v>
      </c>
      <c r="Q154" s="2">
        <v>2820.56</v>
      </c>
    </row>
    <row r="155" spans="1:17" x14ac:dyDescent="0.25">
      <c r="A155" t="s">
        <v>64</v>
      </c>
      <c r="B155" t="s">
        <v>18</v>
      </c>
      <c r="C155" s="1">
        <v>33580</v>
      </c>
      <c r="D155" s="2">
        <f t="shared" ca="1" si="4"/>
        <v>33.905555555555559</v>
      </c>
      <c r="E155" t="s">
        <v>29</v>
      </c>
      <c r="F155" t="s">
        <v>40</v>
      </c>
      <c r="G155" t="s">
        <v>41</v>
      </c>
      <c r="H155" t="s">
        <v>22</v>
      </c>
      <c r="I155">
        <v>23</v>
      </c>
      <c r="J155" t="str" cm="1">
        <f t="array" ref="J155">_xlfn.IFS(I155&lt;=10,"0-10",I155&lt;=20,"11-20",I155&gt;20,"20+")</f>
        <v>20+</v>
      </c>
      <c r="K155" t="s">
        <v>23</v>
      </c>
      <c r="L155" t="s">
        <v>45</v>
      </c>
      <c r="M155" t="s">
        <v>32</v>
      </c>
      <c r="N155" t="s">
        <v>70</v>
      </c>
      <c r="O155" s="1">
        <v>44991</v>
      </c>
      <c r="P155" s="2">
        <f t="shared" si="5"/>
        <v>3</v>
      </c>
      <c r="Q155" s="2">
        <v>4637.26</v>
      </c>
    </row>
    <row r="156" spans="1:17" x14ac:dyDescent="0.25">
      <c r="A156" t="s">
        <v>38</v>
      </c>
      <c r="B156" t="s">
        <v>28</v>
      </c>
      <c r="C156" s="1">
        <v>24333</v>
      </c>
      <c r="D156" s="2">
        <f t="shared" ca="1" si="4"/>
        <v>59.222222222222221</v>
      </c>
      <c r="E156" t="s">
        <v>39</v>
      </c>
      <c r="F156" t="s">
        <v>30</v>
      </c>
      <c r="G156" t="s">
        <v>69</v>
      </c>
      <c r="H156" t="s">
        <v>67</v>
      </c>
      <c r="I156">
        <v>17</v>
      </c>
      <c r="J156" t="str" cm="1">
        <f t="array" ref="J156">_xlfn.IFS(I156&lt;=10,"0-10",I156&lt;=20,"11-20",I156&gt;20,"20+")</f>
        <v>11-20</v>
      </c>
      <c r="K156" t="s">
        <v>52</v>
      </c>
      <c r="L156" t="s">
        <v>36</v>
      </c>
      <c r="M156" t="s">
        <v>37</v>
      </c>
      <c r="N156" t="s">
        <v>56</v>
      </c>
      <c r="O156" s="1">
        <v>44929</v>
      </c>
      <c r="P156" s="2">
        <f t="shared" si="5"/>
        <v>1</v>
      </c>
      <c r="Q156" s="2">
        <v>2736.34</v>
      </c>
    </row>
    <row r="157" spans="1:17" x14ac:dyDescent="0.25">
      <c r="A157" t="s">
        <v>77</v>
      </c>
      <c r="B157" t="s">
        <v>28</v>
      </c>
      <c r="C157" s="1">
        <v>37316</v>
      </c>
      <c r="D157" s="2">
        <f t="shared" ca="1" si="4"/>
        <v>23.675000000000001</v>
      </c>
      <c r="E157" t="s">
        <v>19</v>
      </c>
      <c r="F157" t="s">
        <v>54</v>
      </c>
      <c r="G157" t="s">
        <v>66</v>
      </c>
      <c r="H157" t="s">
        <v>67</v>
      </c>
      <c r="I157">
        <v>5</v>
      </c>
      <c r="J157" t="str" cm="1">
        <f t="array" ref="J157">_xlfn.IFS(I157&lt;=10,"0-10",I157&lt;=20,"11-20",I157&gt;20,"20+")</f>
        <v>0-10</v>
      </c>
      <c r="K157" t="s">
        <v>52</v>
      </c>
      <c r="L157" t="s">
        <v>24</v>
      </c>
      <c r="M157" t="s">
        <v>60</v>
      </c>
      <c r="N157" t="s">
        <v>26</v>
      </c>
      <c r="O157" s="1">
        <v>45252</v>
      </c>
      <c r="P157" s="2">
        <f t="shared" si="5"/>
        <v>11</v>
      </c>
      <c r="Q157" s="2">
        <v>4964.71</v>
      </c>
    </row>
    <row r="158" spans="1:17" x14ac:dyDescent="0.25">
      <c r="A158" t="s">
        <v>78</v>
      </c>
      <c r="B158" t="s">
        <v>28</v>
      </c>
      <c r="C158" s="1">
        <v>35790</v>
      </c>
      <c r="D158" s="2">
        <f t="shared" ca="1" si="4"/>
        <v>27.855555555555554</v>
      </c>
      <c r="E158" t="s">
        <v>29</v>
      </c>
      <c r="F158" t="s">
        <v>50</v>
      </c>
      <c r="G158" t="s">
        <v>41</v>
      </c>
      <c r="H158" t="s">
        <v>51</v>
      </c>
      <c r="I158">
        <v>4</v>
      </c>
      <c r="J158" t="str" cm="1">
        <f t="array" ref="J158">_xlfn.IFS(I158&lt;=10,"0-10",I158&lt;=20,"11-20",I158&gt;20,"20+")</f>
        <v>0-10</v>
      </c>
      <c r="K158" t="s">
        <v>52</v>
      </c>
      <c r="L158" t="s">
        <v>58</v>
      </c>
      <c r="M158" t="s">
        <v>60</v>
      </c>
      <c r="N158" t="s">
        <v>56</v>
      </c>
      <c r="O158" s="1">
        <v>45058</v>
      </c>
      <c r="P158" s="2">
        <f t="shared" si="5"/>
        <v>5</v>
      </c>
      <c r="Q158" s="2">
        <v>4331.41</v>
      </c>
    </row>
    <row r="159" spans="1:17" x14ac:dyDescent="0.25">
      <c r="A159" t="s">
        <v>80</v>
      </c>
      <c r="B159" t="s">
        <v>28</v>
      </c>
      <c r="C159" s="1">
        <v>34387</v>
      </c>
      <c r="D159" s="2">
        <f t="shared" ca="1" si="4"/>
        <v>31.7</v>
      </c>
      <c r="E159" t="s">
        <v>19</v>
      </c>
      <c r="F159" t="s">
        <v>54</v>
      </c>
      <c r="G159" t="s">
        <v>55</v>
      </c>
      <c r="H159" t="s">
        <v>51</v>
      </c>
      <c r="I159">
        <v>2</v>
      </c>
      <c r="J159" t="str" cm="1">
        <f t="array" ref="J159">_xlfn.IFS(I159&lt;=10,"0-10",I159&lt;=20,"11-20",I159&gt;20,"20+")</f>
        <v>0-10</v>
      </c>
      <c r="K159" t="s">
        <v>44</v>
      </c>
      <c r="L159" t="s">
        <v>48</v>
      </c>
      <c r="M159" t="s">
        <v>60</v>
      </c>
      <c r="N159" t="s">
        <v>26</v>
      </c>
      <c r="O159" s="1">
        <v>45119</v>
      </c>
      <c r="P159" s="2">
        <f t="shared" si="5"/>
        <v>7</v>
      </c>
      <c r="Q159" s="2">
        <v>1438.3</v>
      </c>
    </row>
    <row r="160" spans="1:17" x14ac:dyDescent="0.25">
      <c r="A160" t="s">
        <v>53</v>
      </c>
      <c r="B160" t="s">
        <v>28</v>
      </c>
      <c r="C160" s="1">
        <v>36729</v>
      </c>
      <c r="D160" s="2">
        <f t="shared" ca="1" si="4"/>
        <v>25.283333333333335</v>
      </c>
      <c r="E160" t="s">
        <v>35</v>
      </c>
      <c r="F160" t="s">
        <v>43</v>
      </c>
      <c r="G160" t="s">
        <v>21</v>
      </c>
      <c r="H160" t="s">
        <v>22</v>
      </c>
      <c r="I160">
        <v>19</v>
      </c>
      <c r="J160" t="str" cm="1">
        <f t="array" ref="J160">_xlfn.IFS(I160&lt;=10,"0-10",I160&lt;=20,"11-20",I160&gt;20,"20+")</f>
        <v>11-20</v>
      </c>
      <c r="K160" t="s">
        <v>44</v>
      </c>
      <c r="L160" t="s">
        <v>45</v>
      </c>
      <c r="M160" t="s">
        <v>32</v>
      </c>
      <c r="N160" t="s">
        <v>26</v>
      </c>
      <c r="O160" s="1">
        <v>45024</v>
      </c>
      <c r="P160" s="2">
        <f t="shared" si="5"/>
        <v>4</v>
      </c>
      <c r="Q160" s="2">
        <v>4687.68</v>
      </c>
    </row>
    <row r="161" spans="1:17" x14ac:dyDescent="0.25">
      <c r="A161" t="s">
        <v>57</v>
      </c>
      <c r="B161" t="s">
        <v>18</v>
      </c>
      <c r="C161" s="1">
        <v>18609</v>
      </c>
      <c r="D161" s="2">
        <f t="shared" ca="1" si="4"/>
        <v>74.894444444444446</v>
      </c>
      <c r="E161" t="s">
        <v>35</v>
      </c>
      <c r="F161" t="s">
        <v>30</v>
      </c>
      <c r="G161" t="s">
        <v>69</v>
      </c>
      <c r="H161" t="s">
        <v>67</v>
      </c>
      <c r="I161">
        <v>17</v>
      </c>
      <c r="J161" t="str" cm="1">
        <f t="array" ref="J161">_xlfn.IFS(I161&lt;=10,"0-10",I161&lt;=20,"11-20",I161&gt;20,"20+")</f>
        <v>11-20</v>
      </c>
      <c r="K161" t="s">
        <v>52</v>
      </c>
      <c r="L161" t="s">
        <v>45</v>
      </c>
      <c r="M161" t="s">
        <v>37</v>
      </c>
      <c r="N161" t="s">
        <v>26</v>
      </c>
      <c r="O161" s="1">
        <v>45277</v>
      </c>
      <c r="P161" s="2">
        <f t="shared" si="5"/>
        <v>12</v>
      </c>
      <c r="Q161" s="2">
        <v>1023.65</v>
      </c>
    </row>
    <row r="162" spans="1:17" x14ac:dyDescent="0.25">
      <c r="A162" t="s">
        <v>47</v>
      </c>
      <c r="B162" t="s">
        <v>18</v>
      </c>
      <c r="C162" s="1">
        <v>24222</v>
      </c>
      <c r="D162" s="2">
        <f t="shared" ca="1" si="4"/>
        <v>59.524999999999999</v>
      </c>
      <c r="E162" t="s">
        <v>29</v>
      </c>
      <c r="F162" t="s">
        <v>20</v>
      </c>
      <c r="G162" t="s">
        <v>69</v>
      </c>
      <c r="H162" t="s">
        <v>67</v>
      </c>
      <c r="I162">
        <v>4</v>
      </c>
      <c r="J162" t="str" cm="1">
        <f t="array" ref="J162">_xlfn.IFS(I162&lt;=10,"0-10",I162&lt;=20,"11-20",I162&gt;20,"20+")</f>
        <v>0-10</v>
      </c>
      <c r="K162" t="s">
        <v>23</v>
      </c>
      <c r="L162" t="s">
        <v>36</v>
      </c>
      <c r="M162" t="s">
        <v>25</v>
      </c>
      <c r="N162" t="s">
        <v>26</v>
      </c>
      <c r="O162" s="1">
        <v>45094</v>
      </c>
      <c r="P162" s="2">
        <f t="shared" si="5"/>
        <v>6</v>
      </c>
      <c r="Q162" s="2">
        <v>4178.5200000000004</v>
      </c>
    </row>
    <row r="163" spans="1:17" x14ac:dyDescent="0.25">
      <c r="A163" t="s">
        <v>101</v>
      </c>
      <c r="B163" t="s">
        <v>18</v>
      </c>
      <c r="C163" s="1">
        <v>19958</v>
      </c>
      <c r="D163" s="2">
        <f t="shared" ca="1" si="4"/>
        <v>71.2</v>
      </c>
      <c r="E163" t="s">
        <v>29</v>
      </c>
      <c r="F163" t="s">
        <v>30</v>
      </c>
      <c r="G163" t="s">
        <v>31</v>
      </c>
      <c r="H163" t="s">
        <v>22</v>
      </c>
      <c r="I163">
        <v>28</v>
      </c>
      <c r="J163" t="str" cm="1">
        <f t="array" ref="J163">_xlfn.IFS(I163&lt;=10,"0-10",I163&lt;=20,"11-20",I163&gt;20,"20+")</f>
        <v>20+</v>
      </c>
      <c r="K163" t="s">
        <v>23</v>
      </c>
      <c r="L163" t="s">
        <v>45</v>
      </c>
      <c r="M163" t="s">
        <v>32</v>
      </c>
      <c r="N163" t="s">
        <v>26</v>
      </c>
      <c r="O163" s="1">
        <v>44927</v>
      </c>
      <c r="P163" s="2">
        <f t="shared" si="5"/>
        <v>1</v>
      </c>
      <c r="Q163" s="2">
        <v>2212.8000000000002</v>
      </c>
    </row>
    <row r="164" spans="1:17" x14ac:dyDescent="0.25">
      <c r="A164" t="s">
        <v>57</v>
      </c>
      <c r="B164" t="s">
        <v>18</v>
      </c>
      <c r="C164" s="1">
        <v>18609</v>
      </c>
      <c r="D164" s="2">
        <f t="shared" ca="1" si="4"/>
        <v>74.894444444444446</v>
      </c>
      <c r="E164" t="s">
        <v>35</v>
      </c>
      <c r="F164" t="s">
        <v>54</v>
      </c>
      <c r="G164" t="s">
        <v>55</v>
      </c>
      <c r="H164" t="s">
        <v>51</v>
      </c>
      <c r="I164">
        <v>2</v>
      </c>
      <c r="J164" t="str" cm="1">
        <f t="array" ref="J164">_xlfn.IFS(I164&lt;=10,"0-10",I164&lt;=20,"11-20",I164&gt;20,"20+")</f>
        <v>0-10</v>
      </c>
      <c r="K164" t="s">
        <v>44</v>
      </c>
      <c r="L164" t="s">
        <v>24</v>
      </c>
      <c r="M164" t="s">
        <v>32</v>
      </c>
      <c r="N164" t="s">
        <v>70</v>
      </c>
      <c r="O164" s="1">
        <v>45104</v>
      </c>
      <c r="P164" s="2">
        <f t="shared" si="5"/>
        <v>6</v>
      </c>
      <c r="Q164" s="2">
        <v>4450.88</v>
      </c>
    </row>
    <row r="165" spans="1:17" x14ac:dyDescent="0.25">
      <c r="A165" t="s">
        <v>71</v>
      </c>
      <c r="B165" t="s">
        <v>28</v>
      </c>
      <c r="C165" s="1">
        <v>24895</v>
      </c>
      <c r="D165" s="2">
        <f t="shared" ca="1" si="4"/>
        <v>57.68611111111111</v>
      </c>
      <c r="E165" t="s">
        <v>29</v>
      </c>
      <c r="F165" t="s">
        <v>54</v>
      </c>
      <c r="G165" t="s">
        <v>66</v>
      </c>
      <c r="H165" t="s">
        <v>67</v>
      </c>
      <c r="I165">
        <v>5</v>
      </c>
      <c r="J165" t="str" cm="1">
        <f t="array" ref="J165">_xlfn.IFS(I165&lt;=10,"0-10",I165&lt;=20,"11-20",I165&gt;20,"20+")</f>
        <v>0-10</v>
      </c>
      <c r="K165" t="s">
        <v>52</v>
      </c>
      <c r="L165" t="s">
        <v>24</v>
      </c>
      <c r="M165" t="s">
        <v>37</v>
      </c>
      <c r="N165" t="s">
        <v>46</v>
      </c>
      <c r="O165" s="1">
        <v>45135</v>
      </c>
      <c r="P165" s="2">
        <f t="shared" si="5"/>
        <v>7</v>
      </c>
      <c r="Q165" s="2">
        <v>4406.26</v>
      </c>
    </row>
    <row r="166" spans="1:17" x14ac:dyDescent="0.25">
      <c r="A166" t="s">
        <v>82</v>
      </c>
      <c r="B166" t="s">
        <v>28</v>
      </c>
      <c r="C166" s="1">
        <v>31791</v>
      </c>
      <c r="D166" s="2">
        <f t="shared" ca="1" si="4"/>
        <v>38.805555555555557</v>
      </c>
      <c r="E166" t="s">
        <v>19</v>
      </c>
      <c r="F166" t="s">
        <v>30</v>
      </c>
      <c r="G166" t="s">
        <v>69</v>
      </c>
      <c r="H166" t="s">
        <v>67</v>
      </c>
      <c r="I166">
        <v>17</v>
      </c>
      <c r="J166" t="str" cm="1">
        <f t="array" ref="J166">_xlfn.IFS(I166&lt;=10,"0-10",I166&lt;=20,"11-20",I166&gt;20,"20+")</f>
        <v>11-20</v>
      </c>
      <c r="K166" t="s">
        <v>52</v>
      </c>
      <c r="L166" t="s">
        <v>36</v>
      </c>
      <c r="M166" t="s">
        <v>37</v>
      </c>
      <c r="N166" t="s">
        <v>33</v>
      </c>
      <c r="O166" s="1">
        <v>45020</v>
      </c>
      <c r="P166" s="2">
        <f t="shared" si="5"/>
        <v>4</v>
      </c>
      <c r="Q166" s="2">
        <v>4126.66</v>
      </c>
    </row>
    <row r="167" spans="1:17" x14ac:dyDescent="0.25">
      <c r="A167" t="s">
        <v>59</v>
      </c>
      <c r="B167" t="s">
        <v>28</v>
      </c>
      <c r="C167" s="1">
        <v>22090</v>
      </c>
      <c r="D167" s="2">
        <f t="shared" ca="1" si="4"/>
        <v>65.363888888888894</v>
      </c>
      <c r="E167" t="s">
        <v>29</v>
      </c>
      <c r="F167" t="s">
        <v>54</v>
      </c>
      <c r="G167" t="s">
        <v>55</v>
      </c>
      <c r="H167" t="s">
        <v>51</v>
      </c>
      <c r="I167">
        <v>2</v>
      </c>
      <c r="J167" t="str" cm="1">
        <f t="array" ref="J167">_xlfn.IFS(I167&lt;=10,"0-10",I167&lt;=20,"11-20",I167&gt;20,"20+")</f>
        <v>0-10</v>
      </c>
      <c r="K167" t="s">
        <v>44</v>
      </c>
      <c r="L167" t="s">
        <v>24</v>
      </c>
      <c r="M167" t="s">
        <v>32</v>
      </c>
      <c r="N167" t="s">
        <v>46</v>
      </c>
      <c r="O167" s="1">
        <v>44938</v>
      </c>
      <c r="P167" s="2">
        <f t="shared" si="5"/>
        <v>1</v>
      </c>
      <c r="Q167" s="2">
        <v>4055.14</v>
      </c>
    </row>
    <row r="168" spans="1:17" x14ac:dyDescent="0.25">
      <c r="A168" t="s">
        <v>90</v>
      </c>
      <c r="B168" t="s">
        <v>18</v>
      </c>
      <c r="C168" s="1">
        <v>34072</v>
      </c>
      <c r="D168" s="2">
        <f t="shared" ca="1" si="4"/>
        <v>32.55833333333333</v>
      </c>
      <c r="E168" t="s">
        <v>29</v>
      </c>
      <c r="F168" t="s">
        <v>30</v>
      </c>
      <c r="G168" t="s">
        <v>69</v>
      </c>
      <c r="H168" t="s">
        <v>67</v>
      </c>
      <c r="I168">
        <v>17</v>
      </c>
      <c r="J168" t="str" cm="1">
        <f t="array" ref="J168">_xlfn.IFS(I168&lt;=10,"0-10",I168&lt;=20,"11-20",I168&gt;20,"20+")</f>
        <v>11-20</v>
      </c>
      <c r="K168" t="s">
        <v>52</v>
      </c>
      <c r="L168" t="s">
        <v>58</v>
      </c>
      <c r="M168" t="s">
        <v>25</v>
      </c>
      <c r="N168" t="s">
        <v>26</v>
      </c>
      <c r="O168" s="1">
        <v>45245</v>
      </c>
      <c r="P168" s="2">
        <f t="shared" si="5"/>
        <v>11</v>
      </c>
      <c r="Q168" s="2">
        <v>1871.06</v>
      </c>
    </row>
    <row r="169" spans="1:17" x14ac:dyDescent="0.25">
      <c r="A169" t="s">
        <v>80</v>
      </c>
      <c r="B169" t="s">
        <v>28</v>
      </c>
      <c r="C169" s="1">
        <v>34387</v>
      </c>
      <c r="D169" s="2">
        <f t="shared" ca="1" si="4"/>
        <v>31.7</v>
      </c>
      <c r="E169" t="s">
        <v>19</v>
      </c>
      <c r="F169" t="s">
        <v>30</v>
      </c>
      <c r="G169" t="s">
        <v>31</v>
      </c>
      <c r="H169" t="s">
        <v>22</v>
      </c>
      <c r="I169">
        <v>28</v>
      </c>
      <c r="J169" t="str" cm="1">
        <f t="array" ref="J169">_xlfn.IFS(I169&lt;=10,"0-10",I169&lt;=20,"11-20",I169&gt;20,"20+")</f>
        <v>20+</v>
      </c>
      <c r="K169" t="s">
        <v>23</v>
      </c>
      <c r="L169" t="s">
        <v>36</v>
      </c>
      <c r="M169" t="s">
        <v>32</v>
      </c>
      <c r="N169" t="s">
        <v>70</v>
      </c>
      <c r="O169" s="1">
        <v>45198</v>
      </c>
      <c r="P169" s="2">
        <f t="shared" si="5"/>
        <v>9</v>
      </c>
      <c r="Q169" s="2">
        <v>864.14</v>
      </c>
    </row>
    <row r="170" spans="1:17" x14ac:dyDescent="0.25">
      <c r="A170" t="s">
        <v>62</v>
      </c>
      <c r="B170" t="s">
        <v>28</v>
      </c>
      <c r="C170" s="1">
        <v>38487</v>
      </c>
      <c r="D170" s="2">
        <f t="shared" ca="1" si="4"/>
        <v>20.469444444444445</v>
      </c>
      <c r="E170" t="s">
        <v>39</v>
      </c>
      <c r="F170" t="s">
        <v>54</v>
      </c>
      <c r="G170" t="s">
        <v>66</v>
      </c>
      <c r="H170" t="s">
        <v>67</v>
      </c>
      <c r="I170">
        <v>5</v>
      </c>
      <c r="J170" t="str" cm="1">
        <f t="array" ref="J170">_xlfn.IFS(I170&lt;=10,"0-10",I170&lt;=20,"11-20",I170&gt;20,"20+")</f>
        <v>0-10</v>
      </c>
      <c r="K170" t="s">
        <v>52</v>
      </c>
      <c r="L170" t="s">
        <v>58</v>
      </c>
      <c r="M170" t="s">
        <v>37</v>
      </c>
      <c r="N170" t="s">
        <v>56</v>
      </c>
      <c r="O170" s="1">
        <v>45131</v>
      </c>
      <c r="P170" s="2">
        <f t="shared" si="5"/>
        <v>7</v>
      </c>
      <c r="Q170" s="2">
        <v>2313.41</v>
      </c>
    </row>
    <row r="171" spans="1:17" x14ac:dyDescent="0.25">
      <c r="A171" t="s">
        <v>91</v>
      </c>
      <c r="B171" t="s">
        <v>28</v>
      </c>
      <c r="C171" s="1">
        <v>29305</v>
      </c>
      <c r="D171" s="2">
        <f t="shared" ca="1" si="4"/>
        <v>45.608333333333334</v>
      </c>
      <c r="E171" t="s">
        <v>19</v>
      </c>
      <c r="F171" t="s">
        <v>20</v>
      </c>
      <c r="G171" t="s">
        <v>69</v>
      </c>
      <c r="H171" t="s">
        <v>67</v>
      </c>
      <c r="I171">
        <v>4</v>
      </c>
      <c r="J171" t="str" cm="1">
        <f t="array" ref="J171">_xlfn.IFS(I171&lt;=10,"0-10",I171&lt;=20,"11-20",I171&gt;20,"20+")</f>
        <v>0-10</v>
      </c>
      <c r="K171" t="s">
        <v>23</v>
      </c>
      <c r="L171" t="s">
        <v>48</v>
      </c>
      <c r="M171" t="s">
        <v>25</v>
      </c>
      <c r="N171" t="s">
        <v>70</v>
      </c>
      <c r="O171" s="1">
        <v>44988</v>
      </c>
      <c r="P171" s="2">
        <f t="shared" si="5"/>
        <v>3</v>
      </c>
      <c r="Q171" s="2">
        <v>1280.8599999999999</v>
      </c>
    </row>
    <row r="172" spans="1:17" x14ac:dyDescent="0.25">
      <c r="A172" t="s">
        <v>98</v>
      </c>
      <c r="B172" t="s">
        <v>18</v>
      </c>
      <c r="C172" s="1">
        <v>24445</v>
      </c>
      <c r="D172" s="2">
        <f t="shared" ca="1" si="4"/>
        <v>58.916666666666664</v>
      </c>
      <c r="E172" t="s">
        <v>29</v>
      </c>
      <c r="F172" t="s">
        <v>43</v>
      </c>
      <c r="G172" t="s">
        <v>41</v>
      </c>
      <c r="H172" t="s">
        <v>22</v>
      </c>
      <c r="I172">
        <v>24</v>
      </c>
      <c r="J172" t="str" cm="1">
        <f t="array" ref="J172">_xlfn.IFS(I172&lt;=10,"0-10",I172&lt;=20,"11-20",I172&gt;20,"20+")</f>
        <v>20+</v>
      </c>
      <c r="K172" t="s">
        <v>44</v>
      </c>
      <c r="L172" t="s">
        <v>58</v>
      </c>
      <c r="M172" t="s">
        <v>37</v>
      </c>
      <c r="N172" t="s">
        <v>26</v>
      </c>
      <c r="O172" s="1">
        <v>45034</v>
      </c>
      <c r="P172" s="2">
        <f t="shared" si="5"/>
        <v>4</v>
      </c>
      <c r="Q172" s="2">
        <v>3627.28</v>
      </c>
    </row>
    <row r="173" spans="1:17" x14ac:dyDescent="0.25">
      <c r="A173" t="s">
        <v>100</v>
      </c>
      <c r="B173" t="s">
        <v>28</v>
      </c>
      <c r="C173" s="1">
        <v>29122</v>
      </c>
      <c r="D173" s="2">
        <f t="shared" ca="1" si="4"/>
        <v>46.111111111111114</v>
      </c>
      <c r="E173" t="s">
        <v>35</v>
      </c>
      <c r="F173" t="s">
        <v>40</v>
      </c>
      <c r="G173" t="s">
        <v>41</v>
      </c>
      <c r="H173" t="s">
        <v>22</v>
      </c>
      <c r="I173">
        <v>23</v>
      </c>
      <c r="J173" t="str" cm="1">
        <f t="array" ref="J173">_xlfn.IFS(I173&lt;=10,"0-10",I173&lt;=20,"11-20",I173&gt;20,"20+")</f>
        <v>20+</v>
      </c>
      <c r="K173" t="s">
        <v>23</v>
      </c>
      <c r="L173" t="s">
        <v>48</v>
      </c>
      <c r="M173" t="s">
        <v>25</v>
      </c>
      <c r="N173" t="s">
        <v>70</v>
      </c>
      <c r="O173" s="1">
        <v>44994</v>
      </c>
      <c r="P173" s="2">
        <f t="shared" si="5"/>
        <v>3</v>
      </c>
      <c r="Q173" s="2">
        <v>2057.4499999999998</v>
      </c>
    </row>
    <row r="174" spans="1:17" x14ac:dyDescent="0.25">
      <c r="A174" t="s">
        <v>73</v>
      </c>
      <c r="B174" t="s">
        <v>28</v>
      </c>
      <c r="C174" s="1">
        <v>35046</v>
      </c>
      <c r="D174" s="2">
        <f t="shared" ca="1" si="4"/>
        <v>29.891666666666666</v>
      </c>
      <c r="E174" t="s">
        <v>19</v>
      </c>
      <c r="F174" t="s">
        <v>20</v>
      </c>
      <c r="G174" t="s">
        <v>69</v>
      </c>
      <c r="H174" t="s">
        <v>67</v>
      </c>
      <c r="I174">
        <v>4</v>
      </c>
      <c r="J174" t="str" cm="1">
        <f t="array" ref="J174">_xlfn.IFS(I174&lt;=10,"0-10",I174&lt;=20,"11-20",I174&gt;20,"20+")</f>
        <v>0-10</v>
      </c>
      <c r="K174" t="s">
        <v>23</v>
      </c>
      <c r="L174" t="s">
        <v>48</v>
      </c>
      <c r="M174" t="s">
        <v>60</v>
      </c>
      <c r="N174" t="s">
        <v>70</v>
      </c>
      <c r="O174" s="1">
        <v>45081</v>
      </c>
      <c r="P174" s="2">
        <f t="shared" si="5"/>
        <v>6</v>
      </c>
      <c r="Q174" s="2">
        <v>4890.25</v>
      </c>
    </row>
    <row r="175" spans="1:17" x14ac:dyDescent="0.25">
      <c r="A175" t="s">
        <v>64</v>
      </c>
      <c r="B175" t="s">
        <v>18</v>
      </c>
      <c r="C175" s="1">
        <v>33580</v>
      </c>
      <c r="D175" s="2">
        <f t="shared" ca="1" si="4"/>
        <v>33.905555555555559</v>
      </c>
      <c r="E175" t="s">
        <v>29</v>
      </c>
      <c r="F175" t="s">
        <v>43</v>
      </c>
      <c r="G175" t="s">
        <v>41</v>
      </c>
      <c r="H175" t="s">
        <v>22</v>
      </c>
      <c r="I175">
        <v>24</v>
      </c>
      <c r="J175" t="str" cm="1">
        <f t="array" ref="J175">_xlfn.IFS(I175&lt;=10,"0-10",I175&lt;=20,"11-20",I175&gt;20,"20+")</f>
        <v>20+</v>
      </c>
      <c r="K175" t="s">
        <v>44</v>
      </c>
      <c r="L175" t="s">
        <v>58</v>
      </c>
      <c r="M175" t="s">
        <v>37</v>
      </c>
      <c r="N175" t="s">
        <v>26</v>
      </c>
      <c r="O175" s="1">
        <v>45230</v>
      </c>
      <c r="P175" s="2">
        <f t="shared" si="5"/>
        <v>10</v>
      </c>
      <c r="Q175" s="2">
        <v>3384.37</v>
      </c>
    </row>
    <row r="176" spans="1:17" x14ac:dyDescent="0.25">
      <c r="A176" t="s">
        <v>99</v>
      </c>
      <c r="B176" t="s">
        <v>28</v>
      </c>
      <c r="C176" s="1">
        <v>26278</v>
      </c>
      <c r="D176" s="2">
        <f t="shared" ca="1" si="4"/>
        <v>53.897222222222226</v>
      </c>
      <c r="E176" t="s">
        <v>35</v>
      </c>
      <c r="F176" t="s">
        <v>43</v>
      </c>
      <c r="G176" t="s">
        <v>21</v>
      </c>
      <c r="H176" t="s">
        <v>22</v>
      </c>
      <c r="I176">
        <v>19</v>
      </c>
      <c r="J176" t="str" cm="1">
        <f t="array" ref="J176">_xlfn.IFS(I176&lt;=10,"0-10",I176&lt;=20,"11-20",I176&gt;20,"20+")</f>
        <v>11-20</v>
      </c>
      <c r="K176" t="s">
        <v>44</v>
      </c>
      <c r="L176" t="s">
        <v>36</v>
      </c>
      <c r="M176" t="s">
        <v>37</v>
      </c>
      <c r="N176" t="s">
        <v>70</v>
      </c>
      <c r="O176" s="1">
        <v>45221</v>
      </c>
      <c r="P176" s="2">
        <f t="shared" si="5"/>
        <v>10</v>
      </c>
      <c r="Q176" s="2">
        <v>4201.16</v>
      </c>
    </row>
    <row r="177" spans="1:17" x14ac:dyDescent="0.25">
      <c r="A177" t="s">
        <v>81</v>
      </c>
      <c r="B177" t="s">
        <v>28</v>
      </c>
      <c r="C177" s="1">
        <v>37177</v>
      </c>
      <c r="D177" s="2">
        <f t="shared" ca="1" si="4"/>
        <v>24.058333333333334</v>
      </c>
      <c r="E177" t="s">
        <v>19</v>
      </c>
      <c r="F177" t="s">
        <v>20</v>
      </c>
      <c r="G177" t="s">
        <v>21</v>
      </c>
      <c r="H177" t="s">
        <v>22</v>
      </c>
      <c r="I177">
        <v>4</v>
      </c>
      <c r="J177" t="str" cm="1">
        <f t="array" ref="J177">_xlfn.IFS(I177&lt;=10,"0-10",I177&lt;=20,"11-20",I177&gt;20,"20+")</f>
        <v>0-10</v>
      </c>
      <c r="K177" t="s">
        <v>23</v>
      </c>
      <c r="L177" t="s">
        <v>24</v>
      </c>
      <c r="M177" t="s">
        <v>32</v>
      </c>
      <c r="N177" t="s">
        <v>33</v>
      </c>
      <c r="O177" s="1">
        <v>45042</v>
      </c>
      <c r="P177" s="2">
        <f t="shared" si="5"/>
        <v>4</v>
      </c>
      <c r="Q177" s="2">
        <v>1096.3599999999999</v>
      </c>
    </row>
    <row r="178" spans="1:17" x14ac:dyDescent="0.25">
      <c r="A178" t="s">
        <v>92</v>
      </c>
      <c r="B178" t="s">
        <v>18</v>
      </c>
      <c r="C178" s="1">
        <v>27830</v>
      </c>
      <c r="D178" s="2">
        <f t="shared" ca="1" si="4"/>
        <v>49.647222222222226</v>
      </c>
      <c r="E178" t="s">
        <v>35</v>
      </c>
      <c r="F178" t="s">
        <v>50</v>
      </c>
      <c r="G178" t="s">
        <v>41</v>
      </c>
      <c r="H178" t="s">
        <v>51</v>
      </c>
      <c r="I178">
        <v>4</v>
      </c>
      <c r="J178" t="str" cm="1">
        <f t="array" ref="J178">_xlfn.IFS(I178&lt;=10,"0-10",I178&lt;=20,"11-20",I178&gt;20,"20+")</f>
        <v>0-10</v>
      </c>
      <c r="K178" t="s">
        <v>52</v>
      </c>
      <c r="L178" t="s">
        <v>24</v>
      </c>
      <c r="M178" t="s">
        <v>37</v>
      </c>
      <c r="N178" t="s">
        <v>33</v>
      </c>
      <c r="O178" s="1">
        <v>45154</v>
      </c>
      <c r="P178" s="2">
        <f t="shared" si="5"/>
        <v>8</v>
      </c>
      <c r="Q178" s="2">
        <v>4379.07</v>
      </c>
    </row>
    <row r="179" spans="1:17" x14ac:dyDescent="0.25">
      <c r="A179" t="s">
        <v>94</v>
      </c>
      <c r="B179" t="s">
        <v>28</v>
      </c>
      <c r="C179" s="1">
        <v>33359</v>
      </c>
      <c r="D179" s="2">
        <f t="shared" ca="1" si="4"/>
        <v>34.508333333333333</v>
      </c>
      <c r="E179" t="s">
        <v>19</v>
      </c>
      <c r="F179" t="s">
        <v>50</v>
      </c>
      <c r="G179" t="s">
        <v>41</v>
      </c>
      <c r="H179" t="s">
        <v>51</v>
      </c>
      <c r="I179">
        <v>4</v>
      </c>
      <c r="J179" t="str" cm="1">
        <f t="array" ref="J179">_xlfn.IFS(I179&lt;=10,"0-10",I179&lt;=20,"11-20",I179&gt;20,"20+")</f>
        <v>0-10</v>
      </c>
      <c r="K179" t="s">
        <v>52</v>
      </c>
      <c r="L179" t="s">
        <v>48</v>
      </c>
      <c r="M179" t="s">
        <v>37</v>
      </c>
      <c r="N179" t="s">
        <v>70</v>
      </c>
      <c r="O179" s="1">
        <v>44943</v>
      </c>
      <c r="P179" s="2">
        <f t="shared" si="5"/>
        <v>1</v>
      </c>
      <c r="Q179" s="2">
        <v>4652.41</v>
      </c>
    </row>
    <row r="180" spans="1:17" x14ac:dyDescent="0.25">
      <c r="A180" t="s">
        <v>102</v>
      </c>
      <c r="B180" t="s">
        <v>28</v>
      </c>
      <c r="C180" s="1">
        <v>33414</v>
      </c>
      <c r="D180" s="2">
        <f t="shared" ca="1" si="4"/>
        <v>34.358333333333334</v>
      </c>
      <c r="E180" t="s">
        <v>29</v>
      </c>
      <c r="F180" t="s">
        <v>40</v>
      </c>
      <c r="G180" t="s">
        <v>41</v>
      </c>
      <c r="H180" t="s">
        <v>22</v>
      </c>
      <c r="I180">
        <v>23</v>
      </c>
      <c r="J180" t="str" cm="1">
        <f t="array" ref="J180">_xlfn.IFS(I180&lt;=10,"0-10",I180&lt;=20,"11-20",I180&gt;20,"20+")</f>
        <v>20+</v>
      </c>
      <c r="K180" t="s">
        <v>23</v>
      </c>
      <c r="L180" t="s">
        <v>48</v>
      </c>
      <c r="M180" t="s">
        <v>60</v>
      </c>
      <c r="N180" t="s">
        <v>56</v>
      </c>
      <c r="O180" s="1">
        <v>44993</v>
      </c>
      <c r="P180" s="2">
        <f t="shared" si="5"/>
        <v>3</v>
      </c>
      <c r="Q180" s="2">
        <v>2691.78</v>
      </c>
    </row>
    <row r="181" spans="1:17" x14ac:dyDescent="0.25">
      <c r="A181" t="s">
        <v>97</v>
      </c>
      <c r="B181" t="s">
        <v>18</v>
      </c>
      <c r="C181" s="1">
        <v>32667</v>
      </c>
      <c r="D181" s="2">
        <f t="shared" ca="1" si="4"/>
        <v>36.405555555555559</v>
      </c>
      <c r="E181" t="s">
        <v>29</v>
      </c>
      <c r="F181" t="s">
        <v>54</v>
      </c>
      <c r="G181" t="s">
        <v>66</v>
      </c>
      <c r="H181" t="s">
        <v>67</v>
      </c>
      <c r="I181">
        <v>5</v>
      </c>
      <c r="J181" t="str" cm="1">
        <f t="array" ref="J181">_xlfn.IFS(I181&lt;=10,"0-10",I181&lt;=20,"11-20",I181&gt;20,"20+")</f>
        <v>0-10</v>
      </c>
      <c r="K181" t="s">
        <v>52</v>
      </c>
      <c r="L181" t="s">
        <v>36</v>
      </c>
      <c r="M181" t="s">
        <v>37</v>
      </c>
      <c r="N181" t="s">
        <v>26</v>
      </c>
      <c r="O181" s="1">
        <v>44933</v>
      </c>
      <c r="P181" s="2">
        <f t="shared" si="5"/>
        <v>1</v>
      </c>
      <c r="Q181" s="2">
        <v>3228.14</v>
      </c>
    </row>
    <row r="182" spans="1:17" x14ac:dyDescent="0.25">
      <c r="A182" t="s">
        <v>76</v>
      </c>
      <c r="B182" t="s">
        <v>18</v>
      </c>
      <c r="C182" s="1">
        <v>31656</v>
      </c>
      <c r="D182" s="2">
        <f t="shared" ca="1" si="4"/>
        <v>39.174999999999997</v>
      </c>
      <c r="E182" t="s">
        <v>29</v>
      </c>
      <c r="F182" t="s">
        <v>30</v>
      </c>
      <c r="G182" t="s">
        <v>31</v>
      </c>
      <c r="H182" t="s">
        <v>22</v>
      </c>
      <c r="I182">
        <v>28</v>
      </c>
      <c r="J182" t="str" cm="1">
        <f t="array" ref="J182">_xlfn.IFS(I182&lt;=10,"0-10",I182&lt;=20,"11-20",I182&gt;20,"20+")</f>
        <v>20+</v>
      </c>
      <c r="K182" t="s">
        <v>23</v>
      </c>
      <c r="L182" t="s">
        <v>45</v>
      </c>
      <c r="M182" t="s">
        <v>60</v>
      </c>
      <c r="N182" t="s">
        <v>33</v>
      </c>
      <c r="O182" s="1">
        <v>45172</v>
      </c>
      <c r="P182" s="2">
        <f t="shared" si="5"/>
        <v>9</v>
      </c>
      <c r="Q182" s="2">
        <v>3941.64</v>
      </c>
    </row>
    <row r="183" spans="1:17" x14ac:dyDescent="0.25">
      <c r="A183" t="s">
        <v>93</v>
      </c>
      <c r="B183" t="s">
        <v>18</v>
      </c>
      <c r="C183" s="1">
        <v>32960</v>
      </c>
      <c r="D183" s="2">
        <f t="shared" ca="1" si="4"/>
        <v>35.6</v>
      </c>
      <c r="E183" t="s">
        <v>19</v>
      </c>
      <c r="F183" t="s">
        <v>54</v>
      </c>
      <c r="G183" t="s">
        <v>66</v>
      </c>
      <c r="H183" t="s">
        <v>67</v>
      </c>
      <c r="I183">
        <v>5</v>
      </c>
      <c r="J183" t="str" cm="1">
        <f t="array" ref="J183">_xlfn.IFS(I183&lt;=10,"0-10",I183&lt;=20,"11-20",I183&gt;20,"20+")</f>
        <v>0-10</v>
      </c>
      <c r="K183" t="s">
        <v>52</v>
      </c>
      <c r="L183" t="s">
        <v>58</v>
      </c>
      <c r="M183" t="s">
        <v>60</v>
      </c>
      <c r="N183" t="s">
        <v>56</v>
      </c>
      <c r="O183" s="1">
        <v>45028</v>
      </c>
      <c r="P183" s="2">
        <f t="shared" si="5"/>
        <v>4</v>
      </c>
      <c r="Q183" s="2">
        <v>1286.77</v>
      </c>
    </row>
    <row r="184" spans="1:17" x14ac:dyDescent="0.25">
      <c r="A184" t="s">
        <v>42</v>
      </c>
      <c r="B184" t="s">
        <v>28</v>
      </c>
      <c r="C184" s="1">
        <v>26449</v>
      </c>
      <c r="D184" s="2">
        <f t="shared" ca="1" si="4"/>
        <v>53.427777777777777</v>
      </c>
      <c r="E184" t="s">
        <v>35</v>
      </c>
      <c r="F184" t="s">
        <v>30</v>
      </c>
      <c r="G184" t="s">
        <v>31</v>
      </c>
      <c r="H184" t="s">
        <v>22</v>
      </c>
      <c r="I184">
        <v>28</v>
      </c>
      <c r="J184" t="str" cm="1">
        <f t="array" ref="J184">_xlfn.IFS(I184&lt;=10,"0-10",I184&lt;=20,"11-20",I184&gt;20,"20+")</f>
        <v>20+</v>
      </c>
      <c r="K184" t="s">
        <v>23</v>
      </c>
      <c r="L184" t="s">
        <v>48</v>
      </c>
      <c r="M184" t="s">
        <v>60</v>
      </c>
      <c r="N184" t="s">
        <v>70</v>
      </c>
      <c r="O184" s="1">
        <v>44960</v>
      </c>
      <c r="P184" s="2">
        <f t="shared" si="5"/>
        <v>2</v>
      </c>
      <c r="Q184" s="2">
        <v>2761.55</v>
      </c>
    </row>
    <row r="185" spans="1:17" x14ac:dyDescent="0.25">
      <c r="A185" t="s">
        <v>101</v>
      </c>
      <c r="B185" t="s">
        <v>18</v>
      </c>
      <c r="C185" s="1">
        <v>19958</v>
      </c>
      <c r="D185" s="2">
        <f t="shared" ca="1" si="4"/>
        <v>71.2</v>
      </c>
      <c r="E185" t="s">
        <v>29</v>
      </c>
      <c r="F185" t="s">
        <v>54</v>
      </c>
      <c r="G185" t="s">
        <v>66</v>
      </c>
      <c r="H185" t="s">
        <v>67</v>
      </c>
      <c r="I185">
        <v>5</v>
      </c>
      <c r="J185" t="str" cm="1">
        <f t="array" ref="J185">_xlfn.IFS(I185&lt;=10,"0-10",I185&lt;=20,"11-20",I185&gt;20,"20+")</f>
        <v>0-10</v>
      </c>
      <c r="K185" t="s">
        <v>52</v>
      </c>
      <c r="L185" t="s">
        <v>24</v>
      </c>
      <c r="M185" t="s">
        <v>60</v>
      </c>
      <c r="N185" t="s">
        <v>56</v>
      </c>
      <c r="O185" s="1">
        <v>44983</v>
      </c>
      <c r="P185" s="2">
        <f t="shared" si="5"/>
        <v>2</v>
      </c>
      <c r="Q185" s="2">
        <v>2293.98</v>
      </c>
    </row>
    <row r="186" spans="1:17" x14ac:dyDescent="0.25">
      <c r="A186" t="s">
        <v>99</v>
      </c>
      <c r="B186" t="s">
        <v>28</v>
      </c>
      <c r="C186" s="1">
        <v>26278</v>
      </c>
      <c r="D186" s="2">
        <f t="shared" ca="1" si="4"/>
        <v>53.897222222222226</v>
      </c>
      <c r="E186" t="s">
        <v>35</v>
      </c>
      <c r="F186" t="s">
        <v>20</v>
      </c>
      <c r="G186" t="s">
        <v>21</v>
      </c>
      <c r="H186" t="s">
        <v>22</v>
      </c>
      <c r="I186">
        <v>4</v>
      </c>
      <c r="J186" t="str" cm="1">
        <f t="array" ref="J186">_xlfn.IFS(I186&lt;=10,"0-10",I186&lt;=20,"11-20",I186&gt;20,"20+")</f>
        <v>0-10</v>
      </c>
      <c r="K186" t="s">
        <v>23</v>
      </c>
      <c r="L186" t="s">
        <v>36</v>
      </c>
      <c r="M186" t="s">
        <v>25</v>
      </c>
      <c r="N186" t="s">
        <v>46</v>
      </c>
      <c r="O186" s="1">
        <v>45006</v>
      </c>
      <c r="P186" s="2">
        <f t="shared" si="5"/>
        <v>3</v>
      </c>
      <c r="Q186" s="2">
        <v>1158.68</v>
      </c>
    </row>
    <row r="187" spans="1:17" x14ac:dyDescent="0.25">
      <c r="A187" t="s">
        <v>89</v>
      </c>
      <c r="B187" t="s">
        <v>28</v>
      </c>
      <c r="C187" s="1">
        <v>34330</v>
      </c>
      <c r="D187" s="2">
        <f t="shared" ca="1" si="4"/>
        <v>31.852777777777778</v>
      </c>
      <c r="E187" t="s">
        <v>19</v>
      </c>
      <c r="F187" t="s">
        <v>43</v>
      </c>
      <c r="G187" t="s">
        <v>21</v>
      </c>
      <c r="H187" t="s">
        <v>22</v>
      </c>
      <c r="I187">
        <v>19</v>
      </c>
      <c r="J187" t="str" cm="1">
        <f t="array" ref="J187">_xlfn.IFS(I187&lt;=10,"0-10",I187&lt;=20,"11-20",I187&gt;20,"20+")</f>
        <v>11-20</v>
      </c>
      <c r="K187" t="s">
        <v>44</v>
      </c>
      <c r="L187" t="s">
        <v>58</v>
      </c>
      <c r="M187" t="s">
        <v>32</v>
      </c>
      <c r="N187" t="s">
        <v>33</v>
      </c>
      <c r="O187" s="1">
        <v>45012</v>
      </c>
      <c r="P187" s="2">
        <f t="shared" si="5"/>
        <v>3</v>
      </c>
      <c r="Q187" s="2">
        <v>2153.9</v>
      </c>
    </row>
    <row r="188" spans="1:17" x14ac:dyDescent="0.25">
      <c r="A188" t="s">
        <v>87</v>
      </c>
      <c r="B188" t="s">
        <v>18</v>
      </c>
      <c r="C188" s="1">
        <v>35975</v>
      </c>
      <c r="D188" s="2">
        <f t="shared" ca="1" si="4"/>
        <v>27.347222222222221</v>
      </c>
      <c r="E188" t="s">
        <v>39</v>
      </c>
      <c r="F188" t="s">
        <v>43</v>
      </c>
      <c r="G188" t="s">
        <v>21</v>
      </c>
      <c r="H188" t="s">
        <v>22</v>
      </c>
      <c r="I188">
        <v>19</v>
      </c>
      <c r="J188" t="str" cm="1">
        <f t="array" ref="J188">_xlfn.IFS(I188&lt;=10,"0-10",I188&lt;=20,"11-20",I188&gt;20,"20+")</f>
        <v>11-20</v>
      </c>
      <c r="K188" t="s">
        <v>44</v>
      </c>
      <c r="L188" t="s">
        <v>36</v>
      </c>
      <c r="M188" t="s">
        <v>25</v>
      </c>
      <c r="N188" t="s">
        <v>70</v>
      </c>
      <c r="O188" s="1">
        <v>44970</v>
      </c>
      <c r="P188" s="2">
        <f t="shared" si="5"/>
        <v>2</v>
      </c>
      <c r="Q188" s="2">
        <v>806.78</v>
      </c>
    </row>
    <row r="189" spans="1:17" x14ac:dyDescent="0.25">
      <c r="A189" t="s">
        <v>86</v>
      </c>
      <c r="B189" t="s">
        <v>18</v>
      </c>
      <c r="C189" s="1">
        <v>30967</v>
      </c>
      <c r="D189" s="2">
        <f t="shared" ca="1" si="4"/>
        <v>41.06111111111111</v>
      </c>
      <c r="E189" t="s">
        <v>35</v>
      </c>
      <c r="F189" t="s">
        <v>43</v>
      </c>
      <c r="G189" t="s">
        <v>41</v>
      </c>
      <c r="H189" t="s">
        <v>22</v>
      </c>
      <c r="I189">
        <v>24</v>
      </c>
      <c r="J189" t="str" cm="1">
        <f t="array" ref="J189">_xlfn.IFS(I189&lt;=10,"0-10",I189&lt;=20,"11-20",I189&gt;20,"20+")</f>
        <v>20+</v>
      </c>
      <c r="K189" t="s">
        <v>44</v>
      </c>
      <c r="L189" t="s">
        <v>58</v>
      </c>
      <c r="M189" t="s">
        <v>37</v>
      </c>
      <c r="N189" t="s">
        <v>26</v>
      </c>
      <c r="O189" s="1">
        <v>45028</v>
      </c>
      <c r="P189" s="2">
        <f t="shared" si="5"/>
        <v>4</v>
      </c>
      <c r="Q189" s="2">
        <v>616.15</v>
      </c>
    </row>
    <row r="190" spans="1:17" x14ac:dyDescent="0.25">
      <c r="A190" t="s">
        <v>59</v>
      </c>
      <c r="B190" t="s">
        <v>28</v>
      </c>
      <c r="C190" s="1">
        <v>22090</v>
      </c>
      <c r="D190" s="2">
        <f t="shared" ca="1" si="4"/>
        <v>65.363888888888894</v>
      </c>
      <c r="E190" t="s">
        <v>29</v>
      </c>
      <c r="F190" t="s">
        <v>54</v>
      </c>
      <c r="G190" t="s">
        <v>55</v>
      </c>
      <c r="H190" t="s">
        <v>51</v>
      </c>
      <c r="I190">
        <v>2</v>
      </c>
      <c r="J190" t="str" cm="1">
        <f t="array" ref="J190">_xlfn.IFS(I190&lt;=10,"0-10",I190&lt;=20,"11-20",I190&gt;20,"20+")</f>
        <v>0-10</v>
      </c>
      <c r="K190" t="s">
        <v>44</v>
      </c>
      <c r="L190" t="s">
        <v>58</v>
      </c>
      <c r="M190" t="s">
        <v>25</v>
      </c>
      <c r="N190" t="s">
        <v>70</v>
      </c>
      <c r="O190" s="1">
        <v>45204</v>
      </c>
      <c r="P190" s="2">
        <f t="shared" si="5"/>
        <v>10</v>
      </c>
      <c r="Q190" s="2">
        <v>1108.25</v>
      </c>
    </row>
    <row r="191" spans="1:17" x14ac:dyDescent="0.25">
      <c r="A191" t="s">
        <v>62</v>
      </c>
      <c r="B191" t="s">
        <v>28</v>
      </c>
      <c r="C191" s="1">
        <v>38487</v>
      </c>
      <c r="D191" s="2">
        <f t="shared" ca="1" si="4"/>
        <v>20.469444444444445</v>
      </c>
      <c r="E191" t="s">
        <v>39</v>
      </c>
      <c r="F191" t="s">
        <v>43</v>
      </c>
      <c r="G191" t="s">
        <v>21</v>
      </c>
      <c r="H191" t="s">
        <v>22</v>
      </c>
      <c r="I191">
        <v>19</v>
      </c>
      <c r="J191" t="str" cm="1">
        <f t="array" ref="J191">_xlfn.IFS(I191&lt;=10,"0-10",I191&lt;=20,"11-20",I191&gt;20,"20+")</f>
        <v>11-20</v>
      </c>
      <c r="K191" t="s">
        <v>44</v>
      </c>
      <c r="L191" t="s">
        <v>48</v>
      </c>
      <c r="M191" t="s">
        <v>25</v>
      </c>
      <c r="N191" t="s">
        <v>26</v>
      </c>
      <c r="O191" s="1">
        <v>45246</v>
      </c>
      <c r="P191" s="2">
        <f t="shared" si="5"/>
        <v>11</v>
      </c>
      <c r="Q191" s="2">
        <v>4834.0200000000004</v>
      </c>
    </row>
    <row r="192" spans="1:17" x14ac:dyDescent="0.25">
      <c r="A192" t="s">
        <v>68</v>
      </c>
      <c r="B192" t="s">
        <v>28</v>
      </c>
      <c r="C192" s="1">
        <v>36196</v>
      </c>
      <c r="D192" s="2">
        <f t="shared" ca="1" si="4"/>
        <v>26.747222222222224</v>
      </c>
      <c r="E192" t="s">
        <v>39</v>
      </c>
      <c r="F192" t="s">
        <v>43</v>
      </c>
      <c r="G192" t="s">
        <v>21</v>
      </c>
      <c r="H192" t="s">
        <v>22</v>
      </c>
      <c r="I192">
        <v>19</v>
      </c>
      <c r="J192" t="str" cm="1">
        <f t="array" ref="J192">_xlfn.IFS(I192&lt;=10,"0-10",I192&lt;=20,"11-20",I192&gt;20,"20+")</f>
        <v>11-20</v>
      </c>
      <c r="K192" t="s">
        <v>44</v>
      </c>
      <c r="L192" t="s">
        <v>36</v>
      </c>
      <c r="M192" t="s">
        <v>37</v>
      </c>
      <c r="N192" t="s">
        <v>70</v>
      </c>
      <c r="O192" s="1">
        <v>45028</v>
      </c>
      <c r="P192" s="2">
        <f t="shared" si="5"/>
        <v>4</v>
      </c>
      <c r="Q192" s="2">
        <v>2972.88</v>
      </c>
    </row>
    <row r="193" spans="1:17" x14ac:dyDescent="0.25">
      <c r="A193" t="s">
        <v>102</v>
      </c>
      <c r="B193" t="s">
        <v>28</v>
      </c>
      <c r="C193" s="1">
        <v>33414</v>
      </c>
      <c r="D193" s="2">
        <f t="shared" ca="1" si="4"/>
        <v>34.358333333333334</v>
      </c>
      <c r="E193" t="s">
        <v>29</v>
      </c>
      <c r="F193" t="s">
        <v>20</v>
      </c>
      <c r="G193" t="s">
        <v>69</v>
      </c>
      <c r="H193" t="s">
        <v>67</v>
      </c>
      <c r="I193">
        <v>4</v>
      </c>
      <c r="J193" t="str" cm="1">
        <f t="array" ref="J193">_xlfn.IFS(I193&lt;=10,"0-10",I193&lt;=20,"11-20",I193&gt;20,"20+")</f>
        <v>0-10</v>
      </c>
      <c r="K193" t="s">
        <v>23</v>
      </c>
      <c r="L193" t="s">
        <v>36</v>
      </c>
      <c r="M193" t="s">
        <v>37</v>
      </c>
      <c r="N193" t="s">
        <v>56</v>
      </c>
      <c r="O193" s="1">
        <v>45169</v>
      </c>
      <c r="P193" s="2">
        <f t="shared" si="5"/>
        <v>8</v>
      </c>
      <c r="Q193" s="2">
        <v>4846.2</v>
      </c>
    </row>
    <row r="194" spans="1:17" x14ac:dyDescent="0.25">
      <c r="A194" t="s">
        <v>83</v>
      </c>
      <c r="B194" t="s">
        <v>28</v>
      </c>
      <c r="C194" s="1">
        <v>27538</v>
      </c>
      <c r="D194" s="2">
        <f t="shared" ca="1" si="4"/>
        <v>50.444444444444443</v>
      </c>
      <c r="E194" t="s">
        <v>19</v>
      </c>
      <c r="F194" t="s">
        <v>20</v>
      </c>
      <c r="G194" t="s">
        <v>69</v>
      </c>
      <c r="H194" t="s">
        <v>67</v>
      </c>
      <c r="I194">
        <v>4</v>
      </c>
      <c r="J194" t="str" cm="1">
        <f t="array" ref="J194">_xlfn.IFS(I194&lt;=10,"0-10",I194&lt;=20,"11-20",I194&gt;20,"20+")</f>
        <v>0-10</v>
      </c>
      <c r="K194" t="s">
        <v>23</v>
      </c>
      <c r="L194" t="s">
        <v>24</v>
      </c>
      <c r="M194" t="s">
        <v>37</v>
      </c>
      <c r="N194" t="s">
        <v>56</v>
      </c>
      <c r="O194" s="1">
        <v>45184</v>
      </c>
      <c r="P194" s="2">
        <f t="shared" si="5"/>
        <v>9</v>
      </c>
      <c r="Q194" s="2">
        <v>2446.2399999999998</v>
      </c>
    </row>
    <row r="195" spans="1:17" x14ac:dyDescent="0.25">
      <c r="A195" t="s">
        <v>95</v>
      </c>
      <c r="B195" t="s">
        <v>18</v>
      </c>
      <c r="C195" s="1">
        <v>27946</v>
      </c>
      <c r="D195" s="2">
        <f t="shared" ref="D195:D201" ca="1" si="6">YEARFRAC(C195,TODAY(),)</f>
        <v>49.330555555555556</v>
      </c>
      <c r="E195" t="s">
        <v>19</v>
      </c>
      <c r="F195" t="s">
        <v>43</v>
      </c>
      <c r="G195" t="s">
        <v>41</v>
      </c>
      <c r="H195" t="s">
        <v>22</v>
      </c>
      <c r="I195">
        <v>24</v>
      </c>
      <c r="J195" t="str" cm="1">
        <f t="array" ref="J195">_xlfn.IFS(I195&lt;=10,"0-10",I195&lt;=20,"11-20",I195&gt;20,"20+")</f>
        <v>20+</v>
      </c>
      <c r="K195" t="s">
        <v>44</v>
      </c>
      <c r="L195" t="s">
        <v>24</v>
      </c>
      <c r="M195" t="s">
        <v>25</v>
      </c>
      <c r="N195" t="s">
        <v>56</v>
      </c>
      <c r="O195" s="1">
        <v>45022</v>
      </c>
      <c r="P195" s="2">
        <f t="shared" ref="P195:P201" si="7">MONTH(O195)</f>
        <v>4</v>
      </c>
      <c r="Q195" s="2">
        <v>1903.17</v>
      </c>
    </row>
    <row r="196" spans="1:17" x14ac:dyDescent="0.25">
      <c r="A196" t="s">
        <v>34</v>
      </c>
      <c r="B196" t="s">
        <v>28</v>
      </c>
      <c r="C196" s="1">
        <v>30399</v>
      </c>
      <c r="D196" s="2">
        <f t="shared" ca="1" si="6"/>
        <v>42.611111111111114</v>
      </c>
      <c r="E196" t="s">
        <v>35</v>
      </c>
      <c r="F196" t="s">
        <v>54</v>
      </c>
      <c r="G196" t="s">
        <v>55</v>
      </c>
      <c r="H196" t="s">
        <v>51</v>
      </c>
      <c r="I196">
        <v>2</v>
      </c>
      <c r="J196" t="str" cm="1">
        <f t="array" ref="J196">_xlfn.IFS(I196&lt;=10,"0-10",I196&lt;=20,"11-20",I196&gt;20,"20+")</f>
        <v>0-10</v>
      </c>
      <c r="K196" t="s">
        <v>44</v>
      </c>
      <c r="L196" t="s">
        <v>48</v>
      </c>
      <c r="M196" t="s">
        <v>25</v>
      </c>
      <c r="N196" t="s">
        <v>46</v>
      </c>
      <c r="O196" s="1">
        <v>45157</v>
      </c>
      <c r="P196" s="2">
        <f t="shared" si="7"/>
        <v>8</v>
      </c>
      <c r="Q196" s="2">
        <v>2777.64</v>
      </c>
    </row>
    <row r="197" spans="1:17" x14ac:dyDescent="0.25">
      <c r="A197" t="s">
        <v>47</v>
      </c>
      <c r="B197" t="s">
        <v>18</v>
      </c>
      <c r="C197" s="1">
        <v>24222</v>
      </c>
      <c r="D197" s="2">
        <f t="shared" ca="1" si="6"/>
        <v>59.524999999999999</v>
      </c>
      <c r="E197" t="s">
        <v>29</v>
      </c>
      <c r="F197" t="s">
        <v>40</v>
      </c>
      <c r="G197" t="s">
        <v>41</v>
      </c>
      <c r="H197" t="s">
        <v>22</v>
      </c>
      <c r="I197">
        <v>23</v>
      </c>
      <c r="J197" t="str" cm="1">
        <f t="array" ref="J197">_xlfn.IFS(I197&lt;=10,"0-10",I197&lt;=20,"11-20",I197&gt;20,"20+")</f>
        <v>20+</v>
      </c>
      <c r="K197" t="s">
        <v>23</v>
      </c>
      <c r="L197" t="s">
        <v>48</v>
      </c>
      <c r="M197" t="s">
        <v>37</v>
      </c>
      <c r="N197" t="s">
        <v>26</v>
      </c>
      <c r="O197" s="1">
        <v>45225</v>
      </c>
      <c r="P197" s="2">
        <f t="shared" si="7"/>
        <v>10</v>
      </c>
      <c r="Q197" s="2">
        <v>2477.8000000000002</v>
      </c>
    </row>
    <row r="198" spans="1:17" x14ac:dyDescent="0.25">
      <c r="A198" t="s">
        <v>49</v>
      </c>
      <c r="B198" t="s">
        <v>18</v>
      </c>
      <c r="C198" s="1">
        <v>20244</v>
      </c>
      <c r="D198" s="2">
        <f t="shared" ca="1" si="6"/>
        <v>70.416666666666671</v>
      </c>
      <c r="E198" t="s">
        <v>19</v>
      </c>
      <c r="F198" t="s">
        <v>20</v>
      </c>
      <c r="G198" t="s">
        <v>69</v>
      </c>
      <c r="H198" t="s">
        <v>67</v>
      </c>
      <c r="I198">
        <v>4</v>
      </c>
      <c r="J198" t="str" cm="1">
        <f t="array" ref="J198">_xlfn.IFS(I198&lt;=10,"0-10",I198&lt;=20,"11-20",I198&gt;20,"20+")</f>
        <v>0-10</v>
      </c>
      <c r="K198" t="s">
        <v>23</v>
      </c>
      <c r="L198" t="s">
        <v>45</v>
      </c>
      <c r="M198" t="s">
        <v>32</v>
      </c>
      <c r="N198" t="s">
        <v>56</v>
      </c>
      <c r="O198" s="1">
        <v>45017</v>
      </c>
      <c r="P198" s="2">
        <f t="shared" si="7"/>
        <v>4</v>
      </c>
      <c r="Q198" s="2">
        <v>975.49</v>
      </c>
    </row>
    <row r="199" spans="1:17" x14ac:dyDescent="0.25">
      <c r="A199" t="s">
        <v>61</v>
      </c>
      <c r="B199" t="s">
        <v>28</v>
      </c>
      <c r="C199" s="1">
        <v>20219</v>
      </c>
      <c r="D199" s="2">
        <f t="shared" ca="1" si="6"/>
        <v>70.483333333333334</v>
      </c>
      <c r="E199" t="s">
        <v>29</v>
      </c>
      <c r="F199" t="s">
        <v>40</v>
      </c>
      <c r="G199" t="s">
        <v>41</v>
      </c>
      <c r="H199" t="s">
        <v>22</v>
      </c>
      <c r="I199">
        <v>23</v>
      </c>
      <c r="J199" t="str" cm="1">
        <f t="array" ref="J199">_xlfn.IFS(I199&lt;=10,"0-10",I199&lt;=20,"11-20",I199&gt;20,"20+")</f>
        <v>20+</v>
      </c>
      <c r="K199" t="s">
        <v>23</v>
      </c>
      <c r="L199" t="s">
        <v>24</v>
      </c>
      <c r="M199" t="s">
        <v>32</v>
      </c>
      <c r="N199" t="s">
        <v>46</v>
      </c>
      <c r="O199" s="1">
        <v>45061</v>
      </c>
      <c r="P199" s="2">
        <f t="shared" si="7"/>
        <v>5</v>
      </c>
      <c r="Q199" s="2">
        <v>3383.72</v>
      </c>
    </row>
    <row r="200" spans="1:17" x14ac:dyDescent="0.25">
      <c r="A200" t="s">
        <v>94</v>
      </c>
      <c r="B200" t="s">
        <v>28</v>
      </c>
      <c r="C200" s="1">
        <v>33359</v>
      </c>
      <c r="D200" s="2">
        <f t="shared" ca="1" si="6"/>
        <v>34.508333333333333</v>
      </c>
      <c r="E200" t="s">
        <v>19</v>
      </c>
      <c r="F200" t="s">
        <v>30</v>
      </c>
      <c r="G200" t="s">
        <v>69</v>
      </c>
      <c r="H200" t="s">
        <v>67</v>
      </c>
      <c r="I200">
        <v>17</v>
      </c>
      <c r="J200" t="str" cm="1">
        <f t="array" ref="J200">_xlfn.IFS(I200&lt;=10,"0-10",I200&lt;=20,"11-20",I200&gt;20,"20+")</f>
        <v>11-20</v>
      </c>
      <c r="K200" t="s">
        <v>52</v>
      </c>
      <c r="L200" t="s">
        <v>58</v>
      </c>
      <c r="M200" t="s">
        <v>60</v>
      </c>
      <c r="N200" t="s">
        <v>26</v>
      </c>
      <c r="O200" s="1">
        <v>45047</v>
      </c>
      <c r="P200" s="2">
        <f t="shared" si="7"/>
        <v>5</v>
      </c>
      <c r="Q200" s="2">
        <v>1472.17</v>
      </c>
    </row>
    <row r="201" spans="1:17" x14ac:dyDescent="0.25">
      <c r="A201" t="s">
        <v>97</v>
      </c>
      <c r="B201" t="s">
        <v>18</v>
      </c>
      <c r="C201" s="1">
        <v>32667</v>
      </c>
      <c r="D201" s="2">
        <f t="shared" ca="1" si="6"/>
        <v>36.405555555555559</v>
      </c>
      <c r="E201" t="s">
        <v>29</v>
      </c>
      <c r="F201" t="s">
        <v>20</v>
      </c>
      <c r="G201" t="s">
        <v>69</v>
      </c>
      <c r="H201" t="s">
        <v>67</v>
      </c>
      <c r="I201">
        <v>4</v>
      </c>
      <c r="J201" t="str" cm="1">
        <f t="array" ref="J201">_xlfn.IFS(I201&lt;=10,"0-10",I201&lt;=20,"11-20",I201&gt;20,"20+")</f>
        <v>0-10</v>
      </c>
      <c r="K201" t="s">
        <v>23</v>
      </c>
      <c r="L201" t="s">
        <v>36</v>
      </c>
      <c r="M201" t="s">
        <v>37</v>
      </c>
      <c r="N201" t="s">
        <v>70</v>
      </c>
      <c r="O201" s="1">
        <v>45290</v>
      </c>
      <c r="P201" s="2">
        <f t="shared" si="7"/>
        <v>12</v>
      </c>
      <c r="Q201" s="2">
        <v>3288.15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A36E-56EA-4330-92FA-5DCBD464CEB1}">
  <dimension ref="AI1:AT16"/>
  <sheetViews>
    <sheetView showGridLines="0" tabSelected="1" workbookViewId="0">
      <selection activeCell="Y16" sqref="Y16"/>
    </sheetView>
  </sheetViews>
  <sheetFormatPr defaultRowHeight="15" x14ac:dyDescent="0.25"/>
  <cols>
    <col min="1" max="1" width="1.7109375" customWidth="1"/>
    <col min="35" max="35" width="13.85546875" bestFit="1" customWidth="1"/>
    <col min="36" max="36" width="18.42578125" bestFit="1" customWidth="1"/>
    <col min="39" max="39" width="20.7109375" bestFit="1" customWidth="1"/>
    <col min="40" max="40" width="18.42578125" bestFit="1" customWidth="1"/>
    <col min="45" max="45" width="11.28515625" bestFit="1" customWidth="1"/>
    <col min="46" max="46" width="11.140625" bestFit="1" customWidth="1"/>
  </cols>
  <sheetData>
    <row r="1" spans="35:46" ht="5.25" customHeight="1" x14ac:dyDescent="0.25"/>
    <row r="3" spans="35:46" x14ac:dyDescent="0.25">
      <c r="AS3" s="3" t="s">
        <v>15</v>
      </c>
      <c r="AT3" t="s">
        <v>103</v>
      </c>
    </row>
    <row r="4" spans="35:46" x14ac:dyDescent="0.25">
      <c r="AI4" s="3" t="s">
        <v>7</v>
      </c>
      <c r="AJ4" t="s">
        <v>104</v>
      </c>
      <c r="AM4" s="3" t="s">
        <v>4</v>
      </c>
      <c r="AN4" t="s">
        <v>104</v>
      </c>
      <c r="AS4" s="2">
        <v>1</v>
      </c>
      <c r="AT4" s="2">
        <v>58701.229999999996</v>
      </c>
    </row>
    <row r="5" spans="35:46" x14ac:dyDescent="0.25">
      <c r="AI5" t="s">
        <v>67</v>
      </c>
      <c r="AJ5" s="4">
        <v>70</v>
      </c>
      <c r="AM5" t="s">
        <v>39</v>
      </c>
      <c r="AN5" s="4">
        <v>22</v>
      </c>
      <c r="AS5" s="2">
        <v>2</v>
      </c>
      <c r="AT5" s="2">
        <v>36669.69</v>
      </c>
    </row>
    <row r="6" spans="35:46" x14ac:dyDescent="0.25">
      <c r="AI6" t="s">
        <v>51</v>
      </c>
      <c r="AJ6" s="4">
        <v>32</v>
      </c>
      <c r="AM6" t="s">
        <v>29</v>
      </c>
      <c r="AN6" s="4">
        <v>84</v>
      </c>
      <c r="AS6" s="2">
        <v>3</v>
      </c>
      <c r="AT6" s="2">
        <v>47304.289999999994</v>
      </c>
    </row>
    <row r="7" spans="35:46" x14ac:dyDescent="0.25">
      <c r="AI7" t="s">
        <v>22</v>
      </c>
      <c r="AJ7" s="4">
        <v>98</v>
      </c>
      <c r="AM7" t="s">
        <v>35</v>
      </c>
      <c r="AN7" s="4">
        <v>36</v>
      </c>
      <c r="AS7" s="2">
        <v>4</v>
      </c>
      <c r="AT7" s="2">
        <v>64271.539999999994</v>
      </c>
    </row>
    <row r="8" spans="35:46" x14ac:dyDescent="0.25">
      <c r="AI8" t="s">
        <v>105</v>
      </c>
      <c r="AJ8" s="4">
        <v>200</v>
      </c>
      <c r="AM8" t="s">
        <v>19</v>
      </c>
      <c r="AN8" s="4">
        <v>58</v>
      </c>
      <c r="AS8" s="2">
        <v>5</v>
      </c>
      <c r="AT8" s="2">
        <v>48791.05</v>
      </c>
    </row>
    <row r="9" spans="35:46" x14ac:dyDescent="0.25">
      <c r="AM9" t="s">
        <v>105</v>
      </c>
      <c r="AN9" s="4">
        <v>200</v>
      </c>
      <c r="AS9" s="2">
        <v>6</v>
      </c>
      <c r="AT9" s="2">
        <v>56887.82</v>
      </c>
    </row>
    <row r="10" spans="35:46" x14ac:dyDescent="0.25">
      <c r="AS10" s="2">
        <v>7</v>
      </c>
      <c r="AT10" s="2">
        <v>39880.19</v>
      </c>
    </row>
    <row r="11" spans="35:46" x14ac:dyDescent="0.25">
      <c r="AS11" s="2">
        <v>8</v>
      </c>
      <c r="AT11" s="2">
        <v>41958.669999999991</v>
      </c>
    </row>
    <row r="12" spans="35:46" x14ac:dyDescent="0.25">
      <c r="AS12" s="2">
        <v>9</v>
      </c>
      <c r="AT12" s="2">
        <v>33426.53</v>
      </c>
    </row>
    <row r="13" spans="35:46" x14ac:dyDescent="0.25">
      <c r="AS13" s="2">
        <v>10</v>
      </c>
      <c r="AT13" s="2">
        <v>43314.150000000009</v>
      </c>
    </row>
    <row r="14" spans="35:46" x14ac:dyDescent="0.25">
      <c r="AS14" s="2">
        <v>11</v>
      </c>
      <c r="AT14" s="2">
        <v>52474.979999999996</v>
      </c>
    </row>
    <row r="15" spans="35:46" x14ac:dyDescent="0.25">
      <c r="AS15" s="2">
        <v>12</v>
      </c>
      <c r="AT15" s="2">
        <v>27569.710000000003</v>
      </c>
    </row>
    <row r="16" spans="35:46" x14ac:dyDescent="0.25">
      <c r="AS16" s="2" t="s">
        <v>105</v>
      </c>
      <c r="AT16" s="2">
        <v>551249.85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Botonjic</cp:lastModifiedBy>
  <cp:revision/>
  <dcterms:created xsi:type="dcterms:W3CDTF">2025-11-02T16:56:26Z</dcterms:created>
  <dcterms:modified xsi:type="dcterms:W3CDTF">2025-11-04T20:59:04Z</dcterms:modified>
  <cp:category/>
  <cp:contentStatus/>
</cp:coreProperties>
</file>